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l\Desktop\제휴,광고,마케팅\1.보고\250502 msd 보고\"/>
    </mc:Choice>
  </mc:AlternateContent>
  <xr:revisionPtr revIDLastSave="0" documentId="13_ncr:1_{4E72E77C-CEBB-4B0A-B6CC-947040450D5E}" xr6:coauthVersionLast="47" xr6:coauthVersionMax="47" xr10:uidLastSave="{00000000-0000-0000-0000-000000000000}"/>
  <bookViews>
    <workbookView xWindow="25490" yWindow="-110" windowWidth="38620" windowHeight="21100" xr2:uid="{6D4F0607-940E-4088-A0A9-516769790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1" l="1"/>
  <c r="O30" i="1"/>
  <c r="O26" i="1"/>
  <c r="O25" i="1"/>
  <c r="R19" i="1"/>
  <c r="Z19" i="1"/>
  <c r="Y19" i="1"/>
  <c r="X19" i="1"/>
  <c r="W19" i="1"/>
  <c r="V19" i="1"/>
  <c r="U19" i="1"/>
  <c r="T19" i="1"/>
  <c r="S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C9" i="1"/>
</calcChain>
</file>

<file path=xl/sharedStrings.xml><?xml version="1.0" encoding="utf-8"?>
<sst xmlns="http://schemas.openxmlformats.org/spreadsheetml/2006/main" count="100" uniqueCount="28">
  <si>
    <t>세부메뉴</t>
    <phoneticPr fontId="1" type="noConversion"/>
  </si>
  <si>
    <t>메인 페이지 배너</t>
    <phoneticPr fontId="1" type="noConversion"/>
  </si>
  <si>
    <t>이벤트 모음 페이지 배너</t>
    <phoneticPr fontId="1" type="noConversion"/>
  </si>
  <si>
    <t>검진센터 둘러보기 페이지 배너</t>
    <phoneticPr fontId="1" type="noConversion"/>
  </si>
  <si>
    <t>건강검진 예약하기 페이지 배너</t>
    <phoneticPr fontId="1" type="noConversion"/>
  </si>
  <si>
    <t>건강검진 예약 정보 조회 페이지 배너</t>
    <phoneticPr fontId="1" type="noConversion"/>
  </si>
  <si>
    <t>1월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</si>
  <si>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</si>
  <si>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</si>
  <si>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</si>
  <si>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</si>
  <si>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</si>
  <si>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</si>
  <si>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</si>
  <si>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</si>
  <si>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</si>
  <si>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</si>
  <si>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</si>
  <si>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PV</t>
    <phoneticPr fontId="1" type="noConversion"/>
  </si>
  <si>
    <t>UV</t>
    <phoneticPr fontId="1" type="noConversion"/>
  </si>
  <si>
    <t>합계</t>
    <phoneticPr fontId="1" type="noConversion"/>
  </si>
  <si>
    <t>전체 방문통계</t>
    <phoneticPr fontId="1" type="noConversion"/>
  </si>
  <si>
    <t>로그인 회원 방문통계</t>
    <phoneticPr fontId="1" type="noConversion"/>
  </si>
  <si>
    <t>여성</t>
    <phoneticPr fontId="1" type="noConversion"/>
  </si>
  <si>
    <t>남성</t>
    <phoneticPr fontId="1" type="noConversion"/>
  </si>
  <si>
    <t>월별 남성/여성 예약자수
(검진유형 패키지)</t>
    <phoneticPr fontId="1" type="noConversion"/>
  </si>
  <si>
    <t>월별 남성/여성 예약자수
(선택 추가항목)</t>
    <phoneticPr fontId="1" type="noConversion"/>
  </si>
  <si>
    <t>누적합계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</si>
</sst>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1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177" fontId="0" fillId="0" borderId="10" xfId="0" applyNumberFormat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177" fontId="0" fillId="0" borderId="12" xfId="0" applyNumberFormat="1" applyBorder="1" applyAlignment="1">
      <alignment horizontal="right" vertical="center"/>
    </xf>
    <xf numFmtId="177" fontId="0" fillId="0" borderId="5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177" fontId="0" fillId="0" borderId="8" xfId="0" applyNumberFormat="1" applyBorder="1" applyAlignment="1">
      <alignment horizontal="right" vertical="center"/>
    </xf>
    <xf numFmtId="177" fontId="0" fillId="0" borderId="9" xfId="0" applyNumberFormat="1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3" borderId="30" xfId="0" applyFill="1" applyBorder="1">
      <alignment vertical="center"/>
    </xf>
    <xf numFmtId="0" fontId="0" fillId="3" borderId="21" xfId="0" applyFill="1" applyBorder="1">
      <alignment vertical="center"/>
    </xf>
    <xf numFmtId="176" fontId="0" fillId="3" borderId="16" xfId="0" applyNumberFormat="1" applyFill="1" applyBorder="1" applyAlignment="1">
      <alignment horizontal="right" vertical="center"/>
    </xf>
    <xf numFmtId="177" fontId="0" fillId="3" borderId="16" xfId="0" applyNumberFormat="1" applyFill="1" applyBorder="1" applyAlignment="1">
      <alignment horizontal="right" vertical="center"/>
    </xf>
    <xf numFmtId="176" fontId="0" fillId="5" borderId="17" xfId="0" applyNumberFormat="1" applyFill="1" applyBorder="1" applyAlignment="1">
      <alignment horizontal="right" vertical="center"/>
    </xf>
    <xf numFmtId="176" fontId="0" fillId="5" borderId="11" xfId="0" applyNumberFormat="1" applyFill="1" applyBorder="1" applyAlignment="1">
      <alignment horizontal="right" vertical="center"/>
    </xf>
    <xf numFmtId="176" fontId="0" fillId="5" borderId="12" xfId="0" applyNumberFormat="1" applyFill="1" applyBorder="1" applyAlignment="1">
      <alignment horizontal="right" vertical="center"/>
    </xf>
    <xf numFmtId="176" fontId="0" fillId="5" borderId="18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right" vertical="center"/>
    </xf>
    <xf numFmtId="176" fontId="0" fillId="5" borderId="6" xfId="0" applyNumberFormat="1" applyFill="1" applyBorder="1" applyAlignment="1">
      <alignment horizontal="right" vertical="center"/>
    </xf>
    <xf numFmtId="176" fontId="0" fillId="5" borderId="26" xfId="0" applyNumberFormat="1" applyFill="1" applyBorder="1" applyAlignment="1">
      <alignment horizontal="right" vertical="center"/>
    </xf>
    <xf numFmtId="176" fontId="0" fillId="5" borderId="27" xfId="0" applyNumberFormat="1" applyFill="1" applyBorder="1" applyAlignment="1">
      <alignment horizontal="right" vertical="center"/>
    </xf>
    <xf numFmtId="176" fontId="0" fillId="5" borderId="28" xfId="0" applyNumberFormat="1" applyFill="1" applyBorder="1" applyAlignment="1">
      <alignment horizontal="right" vertical="center"/>
    </xf>
    <xf numFmtId="177" fontId="0" fillId="5" borderId="17" xfId="0" applyNumberFormat="1" applyFill="1" applyBorder="1" applyAlignment="1">
      <alignment horizontal="right" vertical="center"/>
    </xf>
    <xf numFmtId="177" fontId="0" fillId="5" borderId="11" xfId="0" applyNumberFormat="1" applyFill="1" applyBorder="1" applyAlignment="1">
      <alignment horizontal="right" vertical="center"/>
    </xf>
    <xf numFmtId="177" fontId="0" fillId="5" borderId="12" xfId="0" applyNumberFormat="1" applyFill="1" applyBorder="1" applyAlignment="1">
      <alignment horizontal="right" vertical="center"/>
    </xf>
    <xf numFmtId="177" fontId="0" fillId="5" borderId="18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right" vertical="center"/>
    </xf>
    <xf numFmtId="177" fontId="0" fillId="5" borderId="6" xfId="0" applyNumberFormat="1" applyFill="1" applyBorder="1" applyAlignment="1">
      <alignment horizontal="right" vertical="center"/>
    </xf>
    <xf numFmtId="177" fontId="0" fillId="5" borderId="26" xfId="0" applyNumberFormat="1" applyFill="1" applyBorder="1" applyAlignment="1">
      <alignment horizontal="right" vertical="center"/>
    </xf>
    <xf numFmtId="177" fontId="0" fillId="5" borderId="27" xfId="0" applyNumberFormat="1" applyFill="1" applyBorder="1" applyAlignment="1">
      <alignment horizontal="right" vertical="center"/>
    </xf>
    <xf numFmtId="177" fontId="0" fillId="5" borderId="28" xfId="0" applyNumberForma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29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13D6-34EB-4277-9881-1210D13B2A4D}">
  <dimension ref="B1:Z31"/>
  <sheetViews>
    <sheetView tabSelected="1" workbookViewId="0">
      <selection activeCell="R18" sqref="R18"/>
    </sheetView>
  </sheetViews>
  <sheetFormatPr defaultRowHeight="17" x14ac:dyDescent="0.45"/>
  <cols>
    <col min="2" max="2" width="22.1640625" style="1" customWidth="1"/>
  </cols>
  <sheetData>
    <row r="1" spans="2:26" ht="17.5" thickBot="1" x14ac:dyDescent="0.5"/>
    <row r="2" spans="2:26" ht="17.5" thickBot="1" x14ac:dyDescent="0.5">
      <c r="B2" s="48" t="s">
        <v>21</v>
      </c>
      <c r="C2" s="58" t="s">
        <v>18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58" t="s">
        <v>19</v>
      </c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2:26" ht="17.5" thickBot="1" x14ac:dyDescent="0.5">
      <c r="B3" s="49" t="s">
        <v>0</v>
      </c>
      <c r="C3" s="61" t="s">
        <v>6</v>
      </c>
      <c r="D3" s="62" t="s">
        <v>7</v>
      </c>
      <c r="E3" s="62" t="s">
        <v>8</v>
      </c>
      <c r="F3" s="62" t="s">
        <v>9</v>
      </c>
      <c r="G3" s="62" t="s">
        <v>10</v>
      </c>
      <c r="H3" s="62" t="s">
        <v>11</v>
      </c>
      <c r="I3" s="62" t="s">
        <v>12</v>
      </c>
      <c r="J3" s="62" t="s">
        <v>13</v>
      </c>
      <c r="K3" s="62" t="s">
        <v>14</v>
      </c>
      <c r="L3" s="62" t="s">
        <v>15</v>
      </c>
      <c r="M3" s="62" t="s">
        <v>16</v>
      </c>
      <c r="N3" s="63" t="s">
        <v>17</v>
      </c>
      <c r="O3" s="64" t="s">
        <v>6</v>
      </c>
      <c r="P3" s="62" t="s">
        <v>7</v>
      </c>
      <c r="Q3" s="62" t="s">
        <v>8</v>
      </c>
      <c r="R3" s="62" t="s">
        <v>9</v>
      </c>
      <c r="S3" s="62" t="s">
        <v>10</v>
      </c>
      <c r="T3" s="62" t="s">
        <v>11</v>
      </c>
      <c r="U3" s="62" t="s">
        <v>12</v>
      </c>
      <c r="V3" s="62" t="s">
        <v>13</v>
      </c>
      <c r="W3" s="62" t="s">
        <v>14</v>
      </c>
      <c r="X3" s="62" t="s">
        <v>15</v>
      </c>
      <c r="Y3" s="62" t="s">
        <v>16</v>
      </c>
      <c r="Z3" s="63" t="s">
        <v>17</v>
      </c>
    </row>
    <row r="4" spans="2:26" x14ac:dyDescent="0.45">
      <c r="B4" s="50" t="s">
        <v>1</v>
      </c>
      <c r="C4" s="4">
        <v>17411</v>
      </c>
      <c r="D4" s="2">
        <v>22913</v>
      </c>
      <c r="E4" s="2">
        <v>33683</v>
      </c>
      <c r="F4" s="2">
        <v>33650</v>
      </c>
      <c r="G4" s="2"/>
      <c r="H4" s="2"/>
      <c r="I4" s="2"/>
      <c r="J4" s="2"/>
      <c r="K4" s="2"/>
      <c r="L4" s="2"/>
      <c r="M4" s="2"/>
      <c r="N4" s="5"/>
      <c r="O4" s="30">
        <v>6859</v>
      </c>
      <c r="P4" s="31">
        <v>9754</v>
      </c>
      <c r="Q4" s="31">
        <v>15223</v>
      </c>
      <c r="R4" s="31">
        <v>15886</v>
      </c>
      <c r="S4" s="31"/>
      <c r="T4" s="31"/>
      <c r="U4" s="31"/>
      <c r="V4" s="31"/>
      <c r="W4" s="31"/>
      <c r="X4" s="31"/>
      <c r="Y4" s="31"/>
      <c r="Z4" s="32"/>
    </row>
    <row r="5" spans="2:26" x14ac:dyDescent="0.45">
      <c r="B5" s="51" t="s">
        <v>2</v>
      </c>
      <c r="C5" s="6">
        <v>262</v>
      </c>
      <c r="D5" s="3">
        <v>221</v>
      </c>
      <c r="E5" s="3">
        <v>301</v>
      </c>
      <c r="F5" s="3">
        <v>477</v>
      </c>
      <c r="G5" s="3"/>
      <c r="H5" s="3"/>
      <c r="I5" s="3"/>
      <c r="J5" s="3"/>
      <c r="K5" s="3"/>
      <c r="L5" s="3"/>
      <c r="M5" s="3"/>
      <c r="N5" s="7"/>
      <c r="O5" s="33">
        <v>109</v>
      </c>
      <c r="P5" s="34">
        <v>129</v>
      </c>
      <c r="Q5" s="34">
        <v>174</v>
      </c>
      <c r="R5" s="34">
        <v>253</v>
      </c>
      <c r="S5" s="34"/>
      <c r="T5" s="34"/>
      <c r="U5" s="34"/>
      <c r="V5" s="34"/>
      <c r="W5" s="34"/>
      <c r="X5" s="34"/>
      <c r="Y5" s="34"/>
      <c r="Z5" s="35"/>
    </row>
    <row r="6" spans="2:26" ht="34" x14ac:dyDescent="0.45">
      <c r="B6" s="51" t="s">
        <v>3</v>
      </c>
      <c r="C6" s="6">
        <v>8335</v>
      </c>
      <c r="D6" s="3">
        <v>19147</v>
      </c>
      <c r="E6" s="3">
        <v>51140</v>
      </c>
      <c r="F6" s="3">
        <v>64813</v>
      </c>
      <c r="G6" s="3"/>
      <c r="H6" s="3"/>
      <c r="I6" s="3"/>
      <c r="J6" s="3"/>
      <c r="K6" s="3"/>
      <c r="L6" s="3"/>
      <c r="M6" s="3"/>
      <c r="N6" s="7"/>
      <c r="O6" s="33">
        <v>2255</v>
      </c>
      <c r="P6" s="34">
        <v>5785</v>
      </c>
      <c r="Q6" s="34">
        <v>13448</v>
      </c>
      <c r="R6" s="34">
        <v>17285</v>
      </c>
      <c r="S6" s="34"/>
      <c r="T6" s="34"/>
      <c r="U6" s="34"/>
      <c r="V6" s="34"/>
      <c r="W6" s="34"/>
      <c r="X6" s="34"/>
      <c r="Y6" s="34"/>
      <c r="Z6" s="35"/>
    </row>
    <row r="7" spans="2:26" ht="34" x14ac:dyDescent="0.45">
      <c r="B7" s="51" t="s">
        <v>4</v>
      </c>
      <c r="C7" s="6">
        <v>4771</v>
      </c>
      <c r="D7" s="3">
        <v>8275</v>
      </c>
      <c r="E7" s="3">
        <v>20765</v>
      </c>
      <c r="F7" s="3">
        <v>26467</v>
      </c>
      <c r="G7" s="3"/>
      <c r="H7" s="3"/>
      <c r="I7" s="3"/>
      <c r="J7" s="3"/>
      <c r="K7" s="3"/>
      <c r="L7" s="3"/>
      <c r="M7" s="3"/>
      <c r="N7" s="7"/>
      <c r="O7" s="33">
        <v>2127</v>
      </c>
      <c r="P7" s="34">
        <v>3810</v>
      </c>
      <c r="Q7" s="34">
        <v>8650</v>
      </c>
      <c r="R7" s="34">
        <v>11348</v>
      </c>
      <c r="S7" s="34"/>
      <c r="T7" s="34"/>
      <c r="U7" s="34"/>
      <c r="V7" s="34"/>
      <c r="W7" s="34"/>
      <c r="X7" s="34"/>
      <c r="Y7" s="34"/>
      <c r="Z7" s="35"/>
    </row>
    <row r="8" spans="2:26" ht="34.5" thickBot="1" x14ac:dyDescent="0.5">
      <c r="B8" s="52" t="s">
        <v>5</v>
      </c>
      <c r="C8" s="8">
        <v>10409</v>
      </c>
      <c r="D8" s="9">
        <v>21554</v>
      </c>
      <c r="E8" s="9">
        <v>50187</v>
      </c>
      <c r="F8" s="9">
        <v>63072</v>
      </c>
      <c r="G8" s="9"/>
      <c r="H8" s="9"/>
      <c r="I8" s="9"/>
      <c r="J8" s="9"/>
      <c r="K8" s="9"/>
      <c r="L8" s="9"/>
      <c r="M8" s="9"/>
      <c r="N8" s="10"/>
      <c r="O8" s="36">
        <v>2647</v>
      </c>
      <c r="P8" s="37">
        <v>6414</v>
      </c>
      <c r="Q8" s="37">
        <v>13721</v>
      </c>
      <c r="R8" s="37">
        <v>17301</v>
      </c>
      <c r="S8" s="37"/>
      <c r="T8" s="37"/>
      <c r="U8" s="37"/>
      <c r="V8" s="37"/>
      <c r="W8" s="37"/>
      <c r="X8" s="37"/>
      <c r="Y8" s="37"/>
      <c r="Z8" s="38"/>
    </row>
    <row r="9" spans="2:26" ht="17.5" thickBot="1" x14ac:dyDescent="0.5">
      <c r="B9" s="53" t="s">
        <v>20</v>
      </c>
      <c r="C9" s="28">
        <f>SUM(C4:C8)</f>
        <v>41188</v>
      </c>
      <c r="D9" s="28">
        <f t="shared" ref="D9:Z9" si="0">SUM(D4:D8)</f>
        <v>72110</v>
      </c>
      <c r="E9" s="28">
        <f t="shared" si="0"/>
        <v>156076</v>
      </c>
      <c r="F9" s="28">
        <f t="shared" si="0"/>
        <v>188479</v>
      </c>
      <c r="G9" s="28">
        <f t="shared" si="0"/>
        <v>0</v>
      </c>
      <c r="H9" s="28">
        <f t="shared" si="0"/>
        <v>0</v>
      </c>
      <c r="I9" s="28">
        <f t="shared" si="0"/>
        <v>0</v>
      </c>
      <c r="J9" s="28">
        <f t="shared" si="0"/>
        <v>0</v>
      </c>
      <c r="K9" s="28">
        <f t="shared" si="0"/>
        <v>0</v>
      </c>
      <c r="L9" s="28">
        <f t="shared" si="0"/>
        <v>0</v>
      </c>
      <c r="M9" s="28">
        <f t="shared" si="0"/>
        <v>0</v>
      </c>
      <c r="N9" s="28">
        <f t="shared" si="0"/>
        <v>0</v>
      </c>
      <c r="O9" s="28">
        <f t="shared" si="0"/>
        <v>13997</v>
      </c>
      <c r="P9" s="28">
        <f t="shared" si="0"/>
        <v>25892</v>
      </c>
      <c r="Q9" s="28">
        <f t="shared" si="0"/>
        <v>51216</v>
      </c>
      <c r="R9" s="28">
        <f t="shared" si="0"/>
        <v>62073</v>
      </c>
      <c r="S9" s="28">
        <f t="shared" si="0"/>
        <v>0</v>
      </c>
      <c r="T9" s="28">
        <f t="shared" si="0"/>
        <v>0</v>
      </c>
      <c r="U9" s="28">
        <f t="shared" si="0"/>
        <v>0</v>
      </c>
      <c r="V9" s="28">
        <f t="shared" si="0"/>
        <v>0</v>
      </c>
      <c r="W9" s="28">
        <f t="shared" si="0"/>
        <v>0</v>
      </c>
      <c r="X9" s="28">
        <f t="shared" si="0"/>
        <v>0</v>
      </c>
      <c r="Y9" s="28">
        <f t="shared" si="0"/>
        <v>0</v>
      </c>
      <c r="Z9" s="28">
        <f t="shared" si="0"/>
        <v>0</v>
      </c>
    </row>
    <row r="10" spans="2:26" x14ac:dyDescent="0.45">
      <c r="B10" s="54"/>
    </row>
    <row r="11" spans="2:26" ht="17.5" thickBot="1" x14ac:dyDescent="0.5">
      <c r="B11" s="54"/>
    </row>
    <row r="12" spans="2:26" ht="17.5" thickBot="1" x14ac:dyDescent="0.5">
      <c r="B12" s="48" t="s">
        <v>22</v>
      </c>
      <c r="C12" s="58" t="s">
        <v>18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60"/>
      <c r="O12" s="58" t="s">
        <v>19</v>
      </c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60"/>
    </row>
    <row r="13" spans="2:26" ht="17.5" thickBot="1" x14ac:dyDescent="0.5">
      <c r="B13" s="49" t="s">
        <v>0</v>
      </c>
      <c r="C13" s="61" t="s">
        <v>6</v>
      </c>
      <c r="D13" s="62" t="s">
        <v>7</v>
      </c>
      <c r="E13" s="62" t="s">
        <v>8</v>
      </c>
      <c r="F13" s="62" t="s">
        <v>9</v>
      </c>
      <c r="G13" s="62" t="s">
        <v>10</v>
      </c>
      <c r="H13" s="62" t="s">
        <v>11</v>
      </c>
      <c r="I13" s="62" t="s">
        <v>12</v>
      </c>
      <c r="J13" s="62" t="s">
        <v>13</v>
      </c>
      <c r="K13" s="62" t="s">
        <v>14</v>
      </c>
      <c r="L13" s="62" t="s">
        <v>15</v>
      </c>
      <c r="M13" s="62" t="s">
        <v>16</v>
      </c>
      <c r="N13" s="63" t="s">
        <v>17</v>
      </c>
      <c r="O13" s="64" t="s">
        <v>6</v>
      </c>
      <c r="P13" s="62" t="s">
        <v>7</v>
      </c>
      <c r="Q13" s="62" t="s">
        <v>8</v>
      </c>
      <c r="R13" s="62" t="s">
        <v>9</v>
      </c>
      <c r="S13" s="62" t="s">
        <v>10</v>
      </c>
      <c r="T13" s="62" t="s">
        <v>11</v>
      </c>
      <c r="U13" s="62" t="s">
        <v>12</v>
      </c>
      <c r="V13" s="62" t="s">
        <v>13</v>
      </c>
      <c r="W13" s="62" t="s">
        <v>14</v>
      </c>
      <c r="X13" s="62" t="s">
        <v>15</v>
      </c>
      <c r="Y13" s="62" t="s">
        <v>16</v>
      </c>
      <c r="Z13" s="63" t="s">
        <v>17</v>
      </c>
    </row>
    <row r="14" spans="2:26" x14ac:dyDescent="0.45">
      <c r="B14" s="50" t="s">
        <v>1</v>
      </c>
      <c r="C14" s="11">
        <v>8436</v>
      </c>
      <c r="D14" s="12">
        <v>10208</v>
      </c>
      <c r="E14" s="12">
        <v>14676</v>
      </c>
      <c r="F14" s="12">
        <v>15478</v>
      </c>
      <c r="G14" s="12"/>
      <c r="H14" s="12"/>
      <c r="I14" s="12"/>
      <c r="J14" s="12"/>
      <c r="K14" s="12"/>
      <c r="L14" s="12"/>
      <c r="M14" s="12"/>
      <c r="N14" s="13"/>
      <c r="O14" s="39">
        <v>4704</v>
      </c>
      <c r="P14" s="40">
        <v>5829</v>
      </c>
      <c r="Q14" s="40">
        <v>9340</v>
      </c>
      <c r="R14" s="40">
        <v>10306</v>
      </c>
      <c r="S14" s="40"/>
      <c r="T14" s="40"/>
      <c r="U14" s="40"/>
      <c r="V14" s="40"/>
      <c r="W14" s="40"/>
      <c r="X14" s="40"/>
      <c r="Y14" s="40"/>
      <c r="Z14" s="41"/>
    </row>
    <row r="15" spans="2:26" x14ac:dyDescent="0.45">
      <c r="B15" s="51" t="s">
        <v>2</v>
      </c>
      <c r="C15" s="14">
        <v>220</v>
      </c>
      <c r="D15" s="15">
        <v>182</v>
      </c>
      <c r="E15" s="15">
        <v>258</v>
      </c>
      <c r="F15" s="15">
        <v>354</v>
      </c>
      <c r="G15" s="15"/>
      <c r="H15" s="15"/>
      <c r="I15" s="15"/>
      <c r="J15" s="15"/>
      <c r="K15" s="15"/>
      <c r="L15" s="15"/>
      <c r="M15" s="15"/>
      <c r="N15" s="16"/>
      <c r="O15" s="42">
        <v>87</v>
      </c>
      <c r="P15" s="43">
        <v>110</v>
      </c>
      <c r="Q15" s="43">
        <v>158</v>
      </c>
      <c r="R15" s="43">
        <v>221</v>
      </c>
      <c r="S15" s="43"/>
      <c r="T15" s="43"/>
      <c r="U15" s="43"/>
      <c r="V15" s="43"/>
      <c r="W15" s="43"/>
      <c r="X15" s="43"/>
      <c r="Y15" s="43"/>
      <c r="Z15" s="44"/>
    </row>
    <row r="16" spans="2:26" ht="34" x14ac:dyDescent="0.45">
      <c r="B16" s="51" t="s">
        <v>3</v>
      </c>
      <c r="C16" s="14">
        <v>8335</v>
      </c>
      <c r="D16" s="15">
        <v>19147</v>
      </c>
      <c r="E16" s="15">
        <v>51135</v>
      </c>
      <c r="F16" s="15">
        <v>64805</v>
      </c>
      <c r="G16" s="15"/>
      <c r="H16" s="15"/>
      <c r="I16" s="15"/>
      <c r="J16" s="15"/>
      <c r="K16" s="15"/>
      <c r="L16" s="15"/>
      <c r="M16" s="15"/>
      <c r="N16" s="16"/>
      <c r="O16" s="42">
        <v>3173</v>
      </c>
      <c r="P16" s="43">
        <v>7528</v>
      </c>
      <c r="Q16" s="43">
        <v>19273</v>
      </c>
      <c r="R16" s="43">
        <v>24683</v>
      </c>
      <c r="S16" s="43"/>
      <c r="T16" s="43"/>
      <c r="U16" s="43"/>
      <c r="V16" s="43"/>
      <c r="W16" s="43"/>
      <c r="X16" s="43"/>
      <c r="Y16" s="43"/>
      <c r="Z16" s="44"/>
    </row>
    <row r="17" spans="2:26" ht="34" x14ac:dyDescent="0.45">
      <c r="B17" s="51" t="s">
        <v>4</v>
      </c>
      <c r="C17" s="14">
        <v>4771</v>
      </c>
      <c r="D17" s="15">
        <v>8275</v>
      </c>
      <c r="E17" s="15">
        <v>20764</v>
      </c>
      <c r="F17" s="15">
        <v>26466</v>
      </c>
      <c r="G17" s="15"/>
      <c r="H17" s="15"/>
      <c r="I17" s="15"/>
      <c r="J17" s="15"/>
      <c r="K17" s="15"/>
      <c r="L17" s="15"/>
      <c r="M17" s="15"/>
      <c r="N17" s="16"/>
      <c r="O17" s="42">
        <v>2496</v>
      </c>
      <c r="P17" s="43">
        <v>4327</v>
      </c>
      <c r="Q17" s="43">
        <v>10389</v>
      </c>
      <c r="R17" s="43">
        <v>13682</v>
      </c>
      <c r="S17" s="43"/>
      <c r="T17" s="43"/>
      <c r="U17" s="43"/>
      <c r="V17" s="43"/>
      <c r="W17" s="43"/>
      <c r="X17" s="43"/>
      <c r="Y17" s="43"/>
      <c r="Z17" s="44"/>
    </row>
    <row r="18" spans="2:26" ht="34.5" thickBot="1" x14ac:dyDescent="0.5">
      <c r="B18" s="52" t="s">
        <v>5</v>
      </c>
      <c r="C18" s="17">
        <v>10407</v>
      </c>
      <c r="D18" s="18">
        <v>21551</v>
      </c>
      <c r="E18" s="18">
        <v>50177</v>
      </c>
      <c r="F18" s="18">
        <v>63060</v>
      </c>
      <c r="G18" s="18"/>
      <c r="H18" s="18"/>
      <c r="I18" s="18"/>
      <c r="J18" s="18"/>
      <c r="K18" s="18"/>
      <c r="L18" s="18"/>
      <c r="M18" s="18"/>
      <c r="N18" s="19"/>
      <c r="O18" s="45">
        <v>3726</v>
      </c>
      <c r="P18" s="46">
        <v>8400</v>
      </c>
      <c r="Q18" s="46">
        <v>19358</v>
      </c>
      <c r="R18" s="46">
        <v>24202</v>
      </c>
      <c r="S18" s="46"/>
      <c r="T18" s="46"/>
      <c r="U18" s="46"/>
      <c r="V18" s="46"/>
      <c r="W18" s="46"/>
      <c r="X18" s="46"/>
      <c r="Y18" s="46"/>
      <c r="Z18" s="47"/>
    </row>
    <row r="19" spans="2:26" ht="17.5" thickBot="1" x14ac:dyDescent="0.5">
      <c r="B19" s="53" t="s">
        <v>20</v>
      </c>
      <c r="C19" s="29">
        <f>SUM(C14:C18)</f>
        <v>32169</v>
      </c>
      <c r="D19" s="29">
        <f t="shared" ref="D19" si="1">SUM(D14:D18)</f>
        <v>59363</v>
      </c>
      <c r="E19" s="29">
        <f t="shared" ref="E19" si="2">SUM(E14:E18)</f>
        <v>137010</v>
      </c>
      <c r="F19" s="29">
        <f t="shared" ref="F19" si="3">SUM(F14:F18)</f>
        <v>170163</v>
      </c>
      <c r="G19" s="29">
        <f t="shared" ref="G19" si="4">SUM(G14:G18)</f>
        <v>0</v>
      </c>
      <c r="H19" s="29">
        <f t="shared" ref="H19" si="5">SUM(H14:H18)</f>
        <v>0</v>
      </c>
      <c r="I19" s="29">
        <f t="shared" ref="I19" si="6">SUM(I14:I18)</f>
        <v>0</v>
      </c>
      <c r="J19" s="29">
        <f t="shared" ref="J19" si="7">SUM(J14:J18)</f>
        <v>0</v>
      </c>
      <c r="K19" s="29">
        <f t="shared" ref="K19" si="8">SUM(K14:K18)</f>
        <v>0</v>
      </c>
      <c r="L19" s="29">
        <f t="shared" ref="L19" si="9">SUM(L14:L18)</f>
        <v>0</v>
      </c>
      <c r="M19" s="29">
        <f t="shared" ref="M19" si="10">SUM(M14:M18)</f>
        <v>0</v>
      </c>
      <c r="N19" s="29">
        <f t="shared" ref="N19" si="11">SUM(N14:N18)</f>
        <v>0</v>
      </c>
      <c r="O19" s="29">
        <f t="shared" ref="O19" si="12">SUM(O14:O18)</f>
        <v>14186</v>
      </c>
      <c r="P19" s="29">
        <f t="shared" ref="P19" si="13">SUM(P14:P18)</f>
        <v>26194</v>
      </c>
      <c r="Q19" s="29">
        <f t="shared" ref="Q19" si="14">SUM(Q14:Q18)</f>
        <v>58518</v>
      </c>
      <c r="R19" s="29">
        <f t="shared" ref="R19" si="15">SUM(R14:R18)</f>
        <v>73094</v>
      </c>
      <c r="S19" s="29">
        <f t="shared" ref="S19" si="16">SUM(S14:S18)</f>
        <v>0</v>
      </c>
      <c r="T19" s="29">
        <f t="shared" ref="T19" si="17">SUM(T14:T18)</f>
        <v>0</v>
      </c>
      <c r="U19" s="29">
        <f t="shared" ref="U19" si="18">SUM(U14:U18)</f>
        <v>0</v>
      </c>
      <c r="V19" s="29">
        <f t="shared" ref="V19" si="19">SUM(V14:V18)</f>
        <v>0</v>
      </c>
      <c r="W19" s="29">
        <f t="shared" ref="W19" si="20">SUM(W14:W18)</f>
        <v>0</v>
      </c>
      <c r="X19" s="29">
        <f t="shared" ref="X19" si="21">SUM(X14:X18)</f>
        <v>0</v>
      </c>
      <c r="Y19" s="29">
        <f t="shared" ref="Y19" si="22">SUM(Y14:Y18)</f>
        <v>0</v>
      </c>
      <c r="Z19" s="29">
        <f t="shared" ref="Z19" si="23">SUM(Z14:Z18)</f>
        <v>0</v>
      </c>
    </row>
    <row r="20" spans="2:26" x14ac:dyDescent="0.45">
      <c r="B20" s="54"/>
    </row>
    <row r="21" spans="2:26" x14ac:dyDescent="0.45">
      <c r="B21" s="54"/>
    </row>
    <row r="22" spans="2:26" x14ac:dyDescent="0.45">
      <c r="B22" s="54"/>
    </row>
    <row r="23" spans="2:26" ht="17.5" thickBot="1" x14ac:dyDescent="0.5">
      <c r="B23" s="54"/>
    </row>
    <row r="24" spans="2:26" ht="34.5" thickBot="1" x14ac:dyDescent="0.5">
      <c r="B24" s="55" t="s">
        <v>25</v>
      </c>
      <c r="C24" s="65" t="s">
        <v>6</v>
      </c>
      <c r="D24" s="66" t="s">
        <v>7</v>
      </c>
      <c r="E24" s="66" t="s">
        <v>8</v>
      </c>
      <c r="F24" s="66" t="s">
        <v>9</v>
      </c>
      <c r="G24" s="66" t="s">
        <v>10</v>
      </c>
      <c r="H24" s="66" t="s">
        <v>11</v>
      </c>
      <c r="I24" s="66" t="s">
        <v>12</v>
      </c>
      <c r="J24" s="66" t="s">
        <v>13</v>
      </c>
      <c r="K24" s="66" t="s">
        <v>14</v>
      </c>
      <c r="L24" s="66" t="s">
        <v>15</v>
      </c>
      <c r="M24" s="66" t="s">
        <v>16</v>
      </c>
      <c r="N24" s="67" t="s">
        <v>17</v>
      </c>
      <c r="O24" s="68" t="s">
        <v>27</v>
      </c>
    </row>
    <row r="25" spans="2:26" x14ac:dyDescent="0.45">
      <c r="B25" s="56" t="s">
        <v>23</v>
      </c>
      <c r="C25" s="20">
        <v>0</v>
      </c>
      <c r="D25" s="21">
        <v>0</v>
      </c>
      <c r="E25" s="21">
        <v>3</v>
      </c>
      <c r="F25" s="21">
        <v>11</v>
      </c>
      <c r="G25" s="21"/>
      <c r="H25" s="21"/>
      <c r="I25" s="21"/>
      <c r="J25" s="21"/>
      <c r="K25" s="21"/>
      <c r="L25" s="21"/>
      <c r="M25" s="21"/>
      <c r="N25" s="24"/>
      <c r="O25" s="26">
        <f>SUM(C25:N25)</f>
        <v>14</v>
      </c>
    </row>
    <row r="26" spans="2:26" ht="17.5" thickBot="1" x14ac:dyDescent="0.5">
      <c r="B26" s="57" t="s">
        <v>24</v>
      </c>
      <c r="C26" s="22">
        <v>0</v>
      </c>
      <c r="D26" s="23">
        <v>1</v>
      </c>
      <c r="E26" s="23">
        <v>0</v>
      </c>
      <c r="F26" s="23">
        <v>3</v>
      </c>
      <c r="G26" s="23"/>
      <c r="H26" s="23"/>
      <c r="I26" s="23"/>
      <c r="J26" s="23"/>
      <c r="K26" s="23"/>
      <c r="L26" s="23"/>
      <c r="M26" s="23"/>
      <c r="N26" s="25"/>
      <c r="O26" s="27">
        <f>SUM(C26:N26)</f>
        <v>4</v>
      </c>
    </row>
    <row r="27" spans="2:26" x14ac:dyDescent="0.45">
      <c r="B27" s="54"/>
    </row>
    <row r="28" spans="2:26" ht="17.5" thickBot="1" x14ac:dyDescent="0.5">
      <c r="B28" s="54"/>
    </row>
    <row r="29" spans="2:26" ht="34.5" thickBot="1" x14ac:dyDescent="0.5">
      <c r="B29" s="55" t="s">
        <v>26</v>
      </c>
      <c r="C29" s="65" t="s">
        <v>6</v>
      </c>
      <c r="D29" s="66" t="s">
        <v>7</v>
      </c>
      <c r="E29" s="66" t="s">
        <v>8</v>
      </c>
      <c r="F29" s="66" t="s">
        <v>9</v>
      </c>
      <c r="G29" s="66" t="s">
        <v>10</v>
      </c>
      <c r="H29" s="66" t="s">
        <v>11</v>
      </c>
      <c r="I29" s="66" t="s">
        <v>12</v>
      </c>
      <c r="J29" s="66" t="s">
        <v>13</v>
      </c>
      <c r="K29" s="66" t="s">
        <v>14</v>
      </c>
      <c r="L29" s="66" t="s">
        <v>15</v>
      </c>
      <c r="M29" s="66" t="s">
        <v>16</v>
      </c>
      <c r="N29" s="67" t="s">
        <v>17</v>
      </c>
      <c r="O29" s="68" t="s">
        <v>27</v>
      </c>
    </row>
    <row r="30" spans="2:26" x14ac:dyDescent="0.45">
      <c r="B30" s="56" t="s">
        <v>23</v>
      </c>
      <c r="C30" s="20">
        <v>1</v>
      </c>
      <c r="D30" s="21">
        <v>1</v>
      </c>
      <c r="E30" s="21">
        <v>5</v>
      </c>
      <c r="F30" s="21">
        <v>14</v>
      </c>
      <c r="G30" s="21"/>
      <c r="H30" s="21"/>
      <c r="I30" s="21"/>
      <c r="J30" s="21"/>
      <c r="K30" s="21"/>
      <c r="L30" s="21"/>
      <c r="M30" s="21"/>
      <c r="N30" s="24"/>
      <c r="O30" s="26">
        <f>SUM(C30:N30)</f>
        <v>21</v>
      </c>
    </row>
    <row r="31" spans="2:26" ht="17.5" thickBot="1" x14ac:dyDescent="0.5">
      <c r="B31" s="57" t="s">
        <v>24</v>
      </c>
      <c r="C31" s="22">
        <v>0</v>
      </c>
      <c r="D31" s="23">
        <v>1</v>
      </c>
      <c r="E31" s="23">
        <v>0</v>
      </c>
      <c r="F31" s="23">
        <v>7</v>
      </c>
      <c r="G31" s="23"/>
      <c r="H31" s="23"/>
      <c r="I31" s="23"/>
      <c r="J31" s="23"/>
      <c r="K31" s="23"/>
      <c r="L31" s="23"/>
      <c r="M31" s="23"/>
      <c r="N31" s="25"/>
      <c r="O31" s="27">
        <f>SUM(C31:N31)</f>
        <v>8</v>
      </c>
    </row>
  </sheetData>
  <mergeCells count="4">
    <mergeCell ref="C2:N2"/>
    <mergeCell ref="O2:Z2"/>
    <mergeCell ref="C12:N12"/>
    <mergeCell ref="O12:Z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j</dc:creator>
  <cp:lastModifiedBy>ch j</cp:lastModifiedBy>
  <dcterms:created xsi:type="dcterms:W3CDTF">2026-05-28T01:53:29Z</dcterms:created>
  <dcterms:modified xsi:type="dcterms:W3CDTF">2026-05-28T02:26:54Z</dcterms:modified>
</cp:coreProperties>
</file>