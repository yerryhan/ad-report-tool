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l\Desktop\ppt-auto\ref\"/>
    </mc:Choice>
  </mc:AlternateContent>
  <xr:revisionPtr revIDLastSave="0" documentId="13_ncr:1_{FD61D626-DD2E-465B-984F-8E281DA1CE8D}" xr6:coauthVersionLast="47" xr6:coauthVersionMax="47" xr10:uidLastSave="{00000000-0000-0000-0000-000000000000}"/>
  <bookViews>
    <workbookView xWindow="25490" yWindow="-110" windowWidth="38620" windowHeight="21100" xr2:uid="{2A34125E-8230-4F37-BA00-8AF329422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I13" i="1"/>
  <c r="I9" i="1"/>
  <c r="I5" i="1"/>
</calcChain>
</file>

<file path=xl/sharedStrings.xml><?xml version="1.0" encoding="utf-8"?>
<sst xmlns="http://schemas.openxmlformats.org/spreadsheetml/2006/main" count="248" uniqueCount="130">
  <si>
    <t>연령</t>
    <phoneticPr fontId="4" type="noConversion"/>
  </si>
  <si>
    <t xml:space="preserve">20대 </t>
  </si>
  <si>
    <t>30대</t>
    <phoneticPr fontId="4" type="noConversion"/>
  </si>
  <si>
    <t>40대</t>
  </si>
  <si>
    <t>50대</t>
  </si>
  <si>
    <t>60대</t>
  </si>
  <si>
    <t>기타</t>
  </si>
  <si>
    <t>합계</t>
  </si>
  <si>
    <t>가다실</t>
    <phoneticPr fontId="4" type="noConversion"/>
  </si>
  <si>
    <t>30대</t>
  </si>
  <si>
    <t>F</t>
  </si>
  <si>
    <t>이름</t>
    <phoneticPr fontId="4" type="noConversion"/>
  </si>
  <si>
    <t>기업</t>
    <phoneticPr fontId="3" type="noConversion"/>
  </si>
  <si>
    <t>생년월일</t>
    <phoneticPr fontId="3" type="noConversion"/>
  </si>
  <si>
    <t>성별</t>
    <phoneticPr fontId="3" type="noConversion"/>
  </si>
  <si>
    <t>예약시간</t>
    <phoneticPr fontId="3" type="noConversion"/>
  </si>
  <si>
    <t>고객사명</t>
    <phoneticPr fontId="3" type="noConversion"/>
  </si>
  <si>
    <t>검진예약율</t>
    <phoneticPr fontId="3" type="noConversion"/>
  </si>
  <si>
    <t>검진유형 예약건수</t>
    <phoneticPr fontId="3" type="noConversion"/>
  </si>
  <si>
    <t>본인부담 예약건수</t>
    <phoneticPr fontId="3" type="noConversion"/>
  </si>
  <si>
    <t>합계</t>
    <phoneticPr fontId="3" type="noConversion"/>
  </si>
  <si>
    <t>예약현황</t>
    <phoneticPr fontId="3" type="noConversion"/>
  </si>
  <si>
    <t>예약병원</t>
    <phoneticPr fontId="3" type="noConversion"/>
  </si>
  <si>
    <t>예약완료</t>
  </si>
  <si>
    <t>지마켓</t>
  </si>
  <si>
    <t>HS한신메디피아</t>
  </si>
  <si>
    <t>파리크라상</t>
  </si>
  <si>
    <t>원주의료원</t>
  </si>
  <si>
    <t>CJ푸드빌</t>
  </si>
  <si>
    <t>CJ올리브영</t>
  </si>
  <si>
    <t>강남지인병원</t>
  </si>
  <si>
    <t>한국건강관리협회 (서울서부지부)</t>
  </si>
  <si>
    <t>지마켓</t>
    <phoneticPr fontId="3" type="noConversion"/>
  </si>
  <si>
    <t>파리크라상</t>
    <phoneticPr fontId="3" type="noConversion"/>
  </si>
  <si>
    <t>CJ푸드빌</t>
    <phoneticPr fontId="3" type="noConversion"/>
  </si>
  <si>
    <t>CJ올리브영</t>
    <phoneticPr fontId="3" type="noConversion"/>
  </si>
  <si>
    <t>26.04.01 ~ 26.04.30 간 접속한 계정들의 연령대 별 클릭 수(남성)</t>
    <phoneticPr fontId="4" type="noConversion"/>
  </si>
  <si>
    <t>26.04.01 ~ 26.04.30 간 접속한 계정들의 연령대 별 클릭 수(여성)</t>
    <phoneticPr fontId="4" type="noConversion"/>
  </si>
  <si>
    <t>26.04.01 ~ 26.04.30 간 접속한 계정들의 연령대 별 월간 순 방문자(남성)</t>
    <phoneticPr fontId="4" type="noConversion"/>
  </si>
  <si>
    <t>26.04.01 ~ 26.04.30 간 접속한 계정들의 연령대 별 월간 순 방문자(여성)</t>
    <phoneticPr fontId="4" type="noConversion"/>
  </si>
  <si>
    <t>26.04.01 ~ 26.04.30 간 기예약자</t>
    <phoneticPr fontId="4" type="noConversion"/>
  </si>
  <si>
    <t>26.04.01 ~ 26.04.30 기업체(고객사)별 검진예약율, '검진유형' 예약건수, '본인부담' 예약건수</t>
    <phoneticPr fontId="3" type="noConversion"/>
  </si>
  <si>
    <t>CJENM 엔터테인먼트</t>
  </si>
  <si>
    <t>서울DMC 종합검진센터</t>
  </si>
  <si>
    <t>검진완료</t>
  </si>
  <si>
    <t>일산그레이스병원</t>
  </si>
  <si>
    <t>나이스디앤비</t>
  </si>
  <si>
    <t>M</t>
  </si>
  <si>
    <t>서울중앙메디컬센터</t>
  </si>
  <si>
    <t>iM라이프</t>
  </si>
  <si>
    <t>세란병원</t>
  </si>
  <si>
    <t>라이프케어내과 (여의도)</t>
  </si>
  <si>
    <t>메디탑의원</t>
  </si>
  <si>
    <t>미확인</t>
  </si>
  <si>
    <t>제주항공</t>
  </si>
  <si>
    <t>바른메디검진센터</t>
  </si>
  <si>
    <t>더에스엠씨</t>
  </si>
  <si>
    <t>미래의료재단</t>
  </si>
  <si>
    <t>레진엔터테인먼트</t>
  </si>
  <si>
    <t>LS증권</t>
  </si>
  <si>
    <t>하나로의료재단 (종로센터)</t>
  </si>
  <si>
    <t>건설근로자공제회(근로자)</t>
  </si>
  <si>
    <t>연세미래IFC 검진센터(부산)</t>
  </si>
  <si>
    <t>SK이노베이션 계열</t>
  </si>
  <si>
    <t>예약대기</t>
  </si>
  <si>
    <t>다온헬스케어의원</t>
  </si>
  <si>
    <t>카카오</t>
  </si>
  <si>
    <t>메디피움 판교</t>
  </si>
  <si>
    <t>한국자산관리공사(캠코)</t>
  </si>
  <si>
    <t>서울센트럴 메디케어의원</t>
  </si>
  <si>
    <t>녹십자아이메드 강북</t>
  </si>
  <si>
    <t>디케이테크인</t>
  </si>
  <si>
    <t>한국의학연구소KMI (강남)</t>
  </si>
  <si>
    <t>바이트댄스</t>
  </si>
  <si>
    <t>버슘그룹</t>
  </si>
  <si>
    <t>아폴로헬스케어</t>
  </si>
  <si>
    <t>한국의료재단 IFC</t>
  </si>
  <si>
    <t>한국건강관리협회 (경기지부)</t>
  </si>
  <si>
    <t>CJ엠디원</t>
  </si>
  <si>
    <t>한국건강관리협회 (대전충남지부)</t>
  </si>
  <si>
    <t>CJENM 엔터테인먼트</t>
    <phoneticPr fontId="3" type="noConversion"/>
  </si>
  <si>
    <t>나이스디앤비</t>
    <phoneticPr fontId="3" type="noConversion"/>
  </si>
  <si>
    <t>iM라이프</t>
    <phoneticPr fontId="3" type="noConversion"/>
  </si>
  <si>
    <t>제주항공</t>
    <phoneticPr fontId="3" type="noConversion"/>
  </si>
  <si>
    <t>더에스엠씨</t>
    <phoneticPr fontId="3" type="noConversion"/>
  </si>
  <si>
    <t>레진엔터테인먼트</t>
    <phoneticPr fontId="3" type="noConversion"/>
  </si>
  <si>
    <t>LS증권</t>
    <phoneticPr fontId="3" type="noConversion"/>
  </si>
  <si>
    <t>건설근로자공제회(근로자)</t>
    <phoneticPr fontId="3" type="noConversion"/>
  </si>
  <si>
    <t>SK이노베이션 계열</t>
    <phoneticPr fontId="3" type="noConversion"/>
  </si>
  <si>
    <t>카카오</t>
    <phoneticPr fontId="3" type="noConversion"/>
  </si>
  <si>
    <t>한국자산관리공사(캠코)</t>
    <phoneticPr fontId="3" type="noConversion"/>
  </si>
  <si>
    <t>디케이테크인</t>
    <phoneticPr fontId="3" type="noConversion"/>
  </si>
  <si>
    <t>바이트댄스</t>
    <phoneticPr fontId="3" type="noConversion"/>
  </si>
  <si>
    <t>버슘그룹</t>
    <phoneticPr fontId="3" type="noConversion"/>
  </si>
  <si>
    <t>CJ엠디원</t>
    <phoneticPr fontId="3" type="noConversion"/>
  </si>
  <si>
    <t>황가가</t>
    <phoneticPr fontId="3" type="noConversion"/>
  </si>
  <si>
    <t>이나나</t>
    <phoneticPr fontId="3" type="noConversion"/>
  </si>
  <si>
    <t>최다다</t>
    <phoneticPr fontId="3" type="noConversion"/>
  </si>
  <si>
    <t>우라라</t>
    <phoneticPr fontId="3" type="noConversion"/>
  </si>
  <si>
    <t>차마마</t>
    <phoneticPr fontId="3" type="noConversion"/>
  </si>
  <si>
    <t>강바바</t>
    <phoneticPr fontId="3" type="noConversion"/>
  </si>
  <si>
    <t>김사사</t>
    <phoneticPr fontId="3" type="noConversion"/>
  </si>
  <si>
    <t>조아아</t>
    <phoneticPr fontId="3" type="noConversion"/>
  </si>
  <si>
    <t>한자자</t>
    <phoneticPr fontId="3" type="noConversion"/>
  </si>
  <si>
    <t>허차차</t>
    <phoneticPr fontId="3" type="noConversion"/>
  </si>
  <si>
    <t>장카카</t>
    <phoneticPr fontId="3" type="noConversion"/>
  </si>
  <si>
    <t>박타타</t>
    <phoneticPr fontId="3" type="noConversion"/>
  </si>
  <si>
    <t>유파파</t>
    <phoneticPr fontId="3" type="noConversion"/>
  </si>
  <si>
    <t>이하하</t>
    <phoneticPr fontId="3" type="noConversion"/>
  </si>
  <si>
    <t>남궁동길</t>
    <phoneticPr fontId="3" type="noConversion"/>
  </si>
  <si>
    <t>진동길</t>
    <phoneticPr fontId="3" type="noConversion"/>
  </si>
  <si>
    <t>이동길</t>
    <phoneticPr fontId="3" type="noConversion"/>
  </si>
  <si>
    <t>서동길</t>
    <phoneticPr fontId="3" type="noConversion"/>
  </si>
  <si>
    <t>김동길</t>
    <phoneticPr fontId="3" type="noConversion"/>
  </si>
  <si>
    <t>장동길</t>
    <phoneticPr fontId="3" type="noConversion"/>
  </si>
  <si>
    <t>이동순</t>
    <phoneticPr fontId="3" type="noConversion"/>
  </si>
  <si>
    <t>박동길</t>
    <phoneticPr fontId="3" type="noConversion"/>
  </si>
  <si>
    <t>함동길</t>
    <phoneticPr fontId="3" type="noConversion"/>
  </si>
  <si>
    <t>전동길</t>
    <phoneticPr fontId="3" type="noConversion"/>
  </si>
  <si>
    <t>강동길</t>
    <phoneticPr fontId="3" type="noConversion"/>
  </si>
  <si>
    <t>정동길</t>
    <phoneticPr fontId="3" type="noConversion"/>
  </si>
  <si>
    <t>양동길</t>
    <phoneticPr fontId="3" type="noConversion"/>
  </si>
  <si>
    <t>김동순</t>
    <phoneticPr fontId="3" type="noConversion"/>
  </si>
  <si>
    <t>박동순</t>
    <phoneticPr fontId="3" type="noConversion"/>
  </si>
  <si>
    <t>이동자</t>
    <phoneticPr fontId="3" type="noConversion"/>
  </si>
  <si>
    <t>황동길</t>
    <phoneticPr fontId="3" type="noConversion"/>
  </si>
  <si>
    <t>서동순</t>
    <phoneticPr fontId="3" type="noConversion"/>
  </si>
  <si>
    <t>이동명</t>
    <phoneticPr fontId="3" type="noConversion"/>
  </si>
  <si>
    <t>임동길</t>
    <phoneticPr fontId="3" type="noConversion"/>
  </si>
  <si>
    <t>정동순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</si>
</sst>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0" fillId="0" borderId="0" xfId="0" applyNumberFormat="1">
      <alignment vertical="center"/>
    </xf>
    <xf numFmtId="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>
      <alignment vertical="center"/>
    </xf>
  </cellXfs>
  <cellStyles count="2">
    <cellStyle name="셀 확인" xfId="1" builtinId="2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F086-0F23-4992-A3CC-396928EAB2A7}">
  <dimension ref="B3:AC89"/>
  <sheetViews>
    <sheetView tabSelected="1" topLeftCell="F1" workbookViewId="0">
      <selection activeCell="M40" sqref="M40"/>
    </sheetView>
  </sheetViews>
  <sheetFormatPr defaultRowHeight="17" x14ac:dyDescent="0.45"/>
  <cols>
    <col min="12" max="12" width="8.6640625" customWidth="1"/>
    <col min="13" max="13" width="26.58203125" customWidth="1"/>
    <col min="14" max="14" width="26.6640625" customWidth="1"/>
    <col min="15" max="15" width="15" customWidth="1"/>
    <col min="16" max="16" width="10.25" customWidth="1"/>
    <col min="17" max="18" width="28" style="6" customWidth="1"/>
    <col min="19" max="19" width="14.75" style="6" customWidth="1"/>
    <col min="21" max="21" width="26.9140625" customWidth="1"/>
    <col min="22" max="22" width="13.58203125" style="6" customWidth="1"/>
    <col min="23" max="23" width="16.75" customWidth="1"/>
    <col min="24" max="24" width="16.4140625" customWidth="1"/>
    <col min="25" max="25" width="18.9140625" customWidth="1"/>
    <col min="26" max="26" width="15.08203125" customWidth="1"/>
  </cols>
  <sheetData>
    <row r="3" spans="2:29" ht="17.5" thickBot="1" x14ac:dyDescent="0.5">
      <c r="B3" s="11" t="s">
        <v>36</v>
      </c>
      <c r="C3" s="12"/>
      <c r="D3" s="12"/>
      <c r="E3" s="12"/>
      <c r="F3" s="12"/>
      <c r="G3" s="12"/>
      <c r="H3" s="12"/>
      <c r="I3" s="12"/>
      <c r="M3" s="11" t="s">
        <v>40</v>
      </c>
      <c r="N3" s="12"/>
      <c r="O3" s="12"/>
      <c r="P3" s="12"/>
      <c r="Q3" s="12"/>
      <c r="R3" s="12"/>
      <c r="S3" s="12"/>
      <c r="T3" s="12"/>
      <c r="U3" s="12"/>
    </row>
    <row r="4" spans="2:29" ht="18" thickTop="1" thickBot="1" x14ac:dyDescent="0.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22</v>
      </c>
      <c r="S4" s="1" t="s">
        <v>21</v>
      </c>
      <c r="U4" s="11" t="s">
        <v>41</v>
      </c>
      <c r="V4" s="11"/>
      <c r="W4" s="11"/>
      <c r="X4" s="11"/>
      <c r="Y4" s="11"/>
      <c r="Z4" s="11"/>
      <c r="AA4" s="11"/>
      <c r="AB4" s="11"/>
      <c r="AC4" s="11"/>
    </row>
    <row r="5" spans="2:29" ht="18" thickTop="1" thickBot="1" x14ac:dyDescent="0.5">
      <c r="B5" s="2" t="s">
        <v>8</v>
      </c>
      <c r="C5" s="3">
        <v>4</v>
      </c>
      <c r="D5" s="3">
        <v>14</v>
      </c>
      <c r="E5" s="3">
        <v>14</v>
      </c>
      <c r="F5" s="3">
        <v>9</v>
      </c>
      <c r="G5" s="3">
        <v>5</v>
      </c>
      <c r="H5" s="3">
        <v>0</v>
      </c>
      <c r="I5" s="4">
        <f>SUM(C5:H5)</f>
        <v>46</v>
      </c>
      <c r="M5" s="6" t="s">
        <v>95</v>
      </c>
      <c r="N5" s="6" t="s">
        <v>80</v>
      </c>
      <c r="O5" s="6">
        <v>19970225</v>
      </c>
      <c r="P5" s="6" t="s">
        <v>10</v>
      </c>
      <c r="Q5" s="7">
        <v>46114.679409722223</v>
      </c>
      <c r="R5" s="7" t="s">
        <v>43</v>
      </c>
      <c r="S5" s="6" t="s">
        <v>44</v>
      </c>
      <c r="U5" s="1" t="s">
        <v>16</v>
      </c>
      <c r="V5" s="1" t="s">
        <v>17</v>
      </c>
      <c r="W5" s="1" t="s">
        <v>18</v>
      </c>
      <c r="X5" s="1" t="s">
        <v>19</v>
      </c>
      <c r="Y5" s="1" t="s">
        <v>20</v>
      </c>
    </row>
    <row r="6" spans="2:29" x14ac:dyDescent="0.45">
      <c r="M6" s="6" t="s">
        <v>96</v>
      </c>
      <c r="N6" s="6" t="s">
        <v>35</v>
      </c>
      <c r="O6" s="6">
        <v>20020707</v>
      </c>
      <c r="P6" s="6" t="s">
        <v>10</v>
      </c>
      <c r="Q6" s="7">
        <v>46114.998657407406</v>
      </c>
      <c r="R6" s="7" t="s">
        <v>45</v>
      </c>
      <c r="S6" s="6" t="s">
        <v>23</v>
      </c>
      <c r="U6" s="6" t="s">
        <v>58</v>
      </c>
      <c r="V6" s="10">
        <v>0.01</v>
      </c>
      <c r="W6" s="6">
        <v>1</v>
      </c>
      <c r="X6" s="6">
        <v>0</v>
      </c>
      <c r="Y6" s="6">
        <v>1</v>
      </c>
    </row>
    <row r="7" spans="2:29" ht="17.5" thickBot="1" x14ac:dyDescent="0.5">
      <c r="B7" s="11" t="s">
        <v>37</v>
      </c>
      <c r="C7" s="12"/>
      <c r="D7" s="12"/>
      <c r="E7" s="12"/>
      <c r="F7" s="12"/>
      <c r="G7" s="12"/>
      <c r="H7" s="12"/>
      <c r="I7" s="12"/>
      <c r="M7" s="6" t="s">
        <v>97</v>
      </c>
      <c r="N7" s="6" t="s">
        <v>33</v>
      </c>
      <c r="O7" s="6">
        <v>19800323</v>
      </c>
      <c r="P7" s="6" t="s">
        <v>10</v>
      </c>
      <c r="Q7" s="7">
        <v>46116.753078703703</v>
      </c>
      <c r="R7" s="7" t="s">
        <v>27</v>
      </c>
      <c r="S7" s="6" t="s">
        <v>23</v>
      </c>
      <c r="U7" s="6" t="s">
        <v>24</v>
      </c>
      <c r="V7" s="10">
        <v>0</v>
      </c>
      <c r="W7" s="6">
        <v>1</v>
      </c>
      <c r="X7" s="6">
        <v>0</v>
      </c>
      <c r="Y7" s="6">
        <v>1</v>
      </c>
    </row>
    <row r="8" spans="2:29" ht="18" thickTop="1" thickBot="1" x14ac:dyDescent="0.5">
      <c r="B8" s="1" t="s">
        <v>0</v>
      </c>
      <c r="C8" s="1" t="s">
        <v>1</v>
      </c>
      <c r="D8" s="1" t="s">
        <v>9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M8" s="6" t="s">
        <v>98</v>
      </c>
      <c r="N8" s="6" t="s">
        <v>26</v>
      </c>
      <c r="O8" s="6">
        <v>19660301</v>
      </c>
      <c r="P8" s="6" t="s">
        <v>10</v>
      </c>
      <c r="Q8" s="7">
        <v>46117.444525462961</v>
      </c>
      <c r="R8" s="7" t="s">
        <v>27</v>
      </c>
      <c r="S8" s="6" t="s">
        <v>23</v>
      </c>
      <c r="U8" s="6" t="s">
        <v>26</v>
      </c>
      <c r="V8" s="10">
        <v>0</v>
      </c>
      <c r="W8" s="6">
        <v>3</v>
      </c>
      <c r="X8" s="6">
        <v>0</v>
      </c>
      <c r="Y8" s="6">
        <v>3</v>
      </c>
    </row>
    <row r="9" spans="2:29" ht="18" thickTop="1" thickBot="1" x14ac:dyDescent="0.5">
      <c r="B9" s="2" t="s">
        <v>8</v>
      </c>
      <c r="C9" s="3">
        <v>22</v>
      </c>
      <c r="D9" s="3">
        <v>22</v>
      </c>
      <c r="E9" s="3">
        <v>14</v>
      </c>
      <c r="F9" s="3">
        <v>6</v>
      </c>
      <c r="G9" s="3">
        <v>2</v>
      </c>
      <c r="H9" s="3">
        <v>0</v>
      </c>
      <c r="I9" s="4">
        <f>SUM(C9:H9)</f>
        <v>66</v>
      </c>
      <c r="M9" s="6" t="s">
        <v>99</v>
      </c>
      <c r="N9" s="6" t="s">
        <v>81</v>
      </c>
      <c r="O9" s="6">
        <v>19950830</v>
      </c>
      <c r="P9" s="6" t="s">
        <v>47</v>
      </c>
      <c r="Q9" s="7">
        <v>46118.411643518521</v>
      </c>
      <c r="R9" s="7" t="s">
        <v>48</v>
      </c>
      <c r="S9" s="6" t="s">
        <v>44</v>
      </c>
      <c r="U9" s="6" t="s">
        <v>73</v>
      </c>
      <c r="V9" s="10">
        <v>0</v>
      </c>
      <c r="W9" s="6">
        <v>1</v>
      </c>
      <c r="X9" s="6">
        <v>0</v>
      </c>
      <c r="Y9" s="6">
        <v>1</v>
      </c>
    </row>
    <row r="10" spans="2:29" x14ac:dyDescent="0.45">
      <c r="M10" s="6" t="s">
        <v>100</v>
      </c>
      <c r="N10" s="6" t="s">
        <v>82</v>
      </c>
      <c r="O10" s="6">
        <v>19911023</v>
      </c>
      <c r="P10" s="6" t="s">
        <v>47</v>
      </c>
      <c r="Q10" s="7">
        <v>46118.826631944445</v>
      </c>
      <c r="R10" s="7" t="s">
        <v>50</v>
      </c>
      <c r="S10" s="6" t="s">
        <v>23</v>
      </c>
      <c r="U10" s="6" t="s">
        <v>61</v>
      </c>
      <c r="V10" s="10">
        <v>0</v>
      </c>
      <c r="W10" s="6">
        <v>4</v>
      </c>
      <c r="X10" s="6">
        <v>0</v>
      </c>
      <c r="Y10" s="6">
        <v>4</v>
      </c>
    </row>
    <row r="11" spans="2:29" ht="17.5" thickBot="1" x14ac:dyDescent="0.5">
      <c r="B11" s="11" t="s">
        <v>38</v>
      </c>
      <c r="C11" s="12"/>
      <c r="D11" s="12"/>
      <c r="E11" s="12"/>
      <c r="F11" s="12"/>
      <c r="G11" s="12"/>
      <c r="H11" s="12"/>
      <c r="I11" s="12"/>
      <c r="M11" s="6" t="s">
        <v>101</v>
      </c>
      <c r="N11" s="6" t="s">
        <v>49</v>
      </c>
      <c r="O11" s="6">
        <v>19971229</v>
      </c>
      <c r="P11" s="6" t="s">
        <v>10</v>
      </c>
      <c r="Q11" s="7">
        <v>46118.826770833337</v>
      </c>
      <c r="R11" s="7" t="s">
        <v>50</v>
      </c>
      <c r="S11" s="6" t="s">
        <v>23</v>
      </c>
      <c r="U11" s="6" t="s">
        <v>49</v>
      </c>
      <c r="V11" s="10">
        <v>0</v>
      </c>
      <c r="W11" s="6">
        <v>2</v>
      </c>
      <c r="X11" s="6">
        <v>0</v>
      </c>
      <c r="Y11" s="6">
        <v>2</v>
      </c>
    </row>
    <row r="12" spans="2:29" ht="18" thickTop="1" thickBot="1" x14ac:dyDescent="0.5">
      <c r="B12" s="1" t="s">
        <v>0</v>
      </c>
      <c r="C12" s="1" t="s">
        <v>1</v>
      </c>
      <c r="D12" s="1" t="s">
        <v>9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M12" s="6" t="s">
        <v>102</v>
      </c>
      <c r="N12" s="6" t="s">
        <v>42</v>
      </c>
      <c r="O12" s="6">
        <v>19881125</v>
      </c>
      <c r="P12" s="6" t="s">
        <v>10</v>
      </c>
      <c r="Q12" s="7">
        <v>46119.389594907407</v>
      </c>
      <c r="R12" s="7" t="s">
        <v>51</v>
      </c>
      <c r="S12" s="6" t="s">
        <v>23</v>
      </c>
      <c r="U12" s="6" t="s">
        <v>59</v>
      </c>
      <c r="V12" s="10">
        <v>0</v>
      </c>
      <c r="W12" s="6">
        <v>1</v>
      </c>
      <c r="X12" s="6">
        <v>0</v>
      </c>
      <c r="Y12" s="6">
        <v>1</v>
      </c>
    </row>
    <row r="13" spans="2:29" ht="18" thickTop="1" thickBot="1" x14ac:dyDescent="0.5">
      <c r="B13" s="2" t="s">
        <v>8</v>
      </c>
      <c r="C13" s="3">
        <v>1451</v>
      </c>
      <c r="D13" s="3">
        <v>4689</v>
      </c>
      <c r="E13" s="3">
        <v>4661</v>
      </c>
      <c r="F13" s="3">
        <v>2349</v>
      </c>
      <c r="G13" s="3">
        <v>908</v>
      </c>
      <c r="H13" s="3">
        <v>350</v>
      </c>
      <c r="I13" s="4">
        <f>SUM(C13:H13)</f>
        <v>14408</v>
      </c>
      <c r="M13" s="6" t="s">
        <v>103</v>
      </c>
      <c r="N13" s="6" t="s">
        <v>42</v>
      </c>
      <c r="O13" s="6">
        <v>19930525</v>
      </c>
      <c r="P13" s="6" t="s">
        <v>47</v>
      </c>
      <c r="Q13" s="7">
        <v>46119.653553240743</v>
      </c>
      <c r="R13" s="7" t="s">
        <v>52</v>
      </c>
      <c r="S13" s="6" t="s">
        <v>53</v>
      </c>
      <c r="U13" s="6" t="s">
        <v>78</v>
      </c>
      <c r="V13" s="10">
        <v>0</v>
      </c>
      <c r="W13" s="6">
        <v>1</v>
      </c>
      <c r="X13" s="6">
        <v>0</v>
      </c>
      <c r="Y13" s="6">
        <v>1</v>
      </c>
    </row>
    <row r="14" spans="2:29" x14ac:dyDescent="0.45">
      <c r="M14" s="6" t="s">
        <v>104</v>
      </c>
      <c r="N14" s="6" t="s">
        <v>42</v>
      </c>
      <c r="O14" s="6">
        <v>19930829</v>
      </c>
      <c r="P14" s="6" t="s">
        <v>10</v>
      </c>
      <c r="Q14" s="7">
        <v>46119.658275462964</v>
      </c>
      <c r="R14" s="7" t="s">
        <v>52</v>
      </c>
      <c r="S14" s="6" t="s">
        <v>23</v>
      </c>
      <c r="U14" s="6" t="s">
        <v>54</v>
      </c>
      <c r="V14" s="10">
        <v>0</v>
      </c>
      <c r="W14" s="6">
        <v>0</v>
      </c>
      <c r="X14" s="6">
        <v>1</v>
      </c>
      <c r="Y14" s="6">
        <v>0</v>
      </c>
    </row>
    <row r="15" spans="2:29" ht="17.5" thickBot="1" x14ac:dyDescent="0.5">
      <c r="B15" s="11" t="s">
        <v>39</v>
      </c>
      <c r="C15" s="12"/>
      <c r="D15" s="12"/>
      <c r="E15" s="12"/>
      <c r="F15" s="12"/>
      <c r="G15" s="12"/>
      <c r="H15" s="12"/>
      <c r="I15" s="12"/>
      <c r="M15" s="6" t="s">
        <v>105</v>
      </c>
      <c r="N15" s="6" t="s">
        <v>35</v>
      </c>
      <c r="O15" s="6">
        <v>19990127</v>
      </c>
      <c r="P15" s="6" t="s">
        <v>10</v>
      </c>
      <c r="Q15" s="7">
        <v>46121.994745370372</v>
      </c>
      <c r="R15" s="7" t="s">
        <v>25</v>
      </c>
      <c r="S15" s="6" t="s">
        <v>23</v>
      </c>
      <c r="U15" s="6" t="s">
        <v>63</v>
      </c>
      <c r="V15" s="10">
        <v>0</v>
      </c>
      <c r="W15" s="6">
        <v>2</v>
      </c>
      <c r="X15" s="6">
        <v>0</v>
      </c>
      <c r="Y15" s="6">
        <v>2</v>
      </c>
    </row>
    <row r="16" spans="2:29" ht="18" thickTop="1" thickBot="1" x14ac:dyDescent="0.5">
      <c r="B16" s="1" t="s">
        <v>0</v>
      </c>
      <c r="C16" s="1" t="s">
        <v>1</v>
      </c>
      <c r="D16" s="1" t="s">
        <v>9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M16" s="6" t="s">
        <v>106</v>
      </c>
      <c r="N16" s="6" t="s">
        <v>83</v>
      </c>
      <c r="O16" s="6">
        <v>19950622</v>
      </c>
      <c r="P16" s="6" t="s">
        <v>10</v>
      </c>
      <c r="Q16" s="7">
        <v>46122.527106481481</v>
      </c>
      <c r="R16" s="7" t="s">
        <v>55</v>
      </c>
      <c r="S16" s="6" t="s">
        <v>44</v>
      </c>
      <c r="U16" s="6" t="s">
        <v>66</v>
      </c>
      <c r="V16" s="10">
        <v>0</v>
      </c>
      <c r="W16" s="6">
        <v>3</v>
      </c>
      <c r="X16" s="6">
        <v>0</v>
      </c>
      <c r="Y16" s="6">
        <v>3</v>
      </c>
    </row>
    <row r="17" spans="2:25" ht="18" thickTop="1" thickBot="1" x14ac:dyDescent="0.5">
      <c r="B17" s="2" t="s">
        <v>8</v>
      </c>
      <c r="C17" s="3">
        <v>2851</v>
      </c>
      <c r="D17" s="3">
        <v>5253</v>
      </c>
      <c r="E17" s="3">
        <v>3368</v>
      </c>
      <c r="F17" s="3">
        <v>1805</v>
      </c>
      <c r="G17" s="3">
        <v>1063</v>
      </c>
      <c r="H17" s="3">
        <v>412</v>
      </c>
      <c r="I17" s="4">
        <f>SUM(C17:H17)</f>
        <v>14752</v>
      </c>
      <c r="M17" s="6" t="s">
        <v>107</v>
      </c>
      <c r="N17" s="6" t="s">
        <v>84</v>
      </c>
      <c r="O17" s="6">
        <v>20001225</v>
      </c>
      <c r="P17" s="6" t="s">
        <v>10</v>
      </c>
      <c r="Q17" s="7">
        <v>46125.487627314818</v>
      </c>
      <c r="R17" s="7" t="s">
        <v>57</v>
      </c>
      <c r="S17" s="6" t="s">
        <v>23</v>
      </c>
      <c r="U17" s="6" t="s">
        <v>46</v>
      </c>
      <c r="V17" s="10">
        <v>0</v>
      </c>
      <c r="W17" s="6">
        <v>1</v>
      </c>
      <c r="X17" s="6">
        <v>0</v>
      </c>
      <c r="Y17" s="6">
        <v>1</v>
      </c>
    </row>
    <row r="18" spans="2:25" x14ac:dyDescent="0.45">
      <c r="M18" s="6" t="s">
        <v>108</v>
      </c>
      <c r="N18" s="6" t="s">
        <v>85</v>
      </c>
      <c r="O18" s="6">
        <v>19971013</v>
      </c>
      <c r="P18" s="6" t="s">
        <v>10</v>
      </c>
      <c r="Q18" s="7">
        <v>46126.694502314815</v>
      </c>
      <c r="R18" s="7" t="s">
        <v>51</v>
      </c>
      <c r="S18" s="6" t="s">
        <v>23</v>
      </c>
      <c r="U18" s="6" t="s">
        <v>68</v>
      </c>
      <c r="V18" s="10">
        <v>0</v>
      </c>
      <c r="W18" s="6">
        <v>1</v>
      </c>
      <c r="X18" s="6">
        <v>1</v>
      </c>
      <c r="Y18" s="6">
        <v>1</v>
      </c>
    </row>
    <row r="19" spans="2:25" x14ac:dyDescent="0.45">
      <c r="M19" s="6" t="s">
        <v>109</v>
      </c>
      <c r="N19" s="6" t="s">
        <v>86</v>
      </c>
      <c r="O19" s="6">
        <v>19930115</v>
      </c>
      <c r="P19" s="6" t="s">
        <v>47</v>
      </c>
      <c r="Q19" s="7">
        <v>46127.600324074076</v>
      </c>
      <c r="R19" s="7" t="s">
        <v>60</v>
      </c>
      <c r="S19" s="6" t="s">
        <v>23</v>
      </c>
      <c r="U19" s="6" t="s">
        <v>56</v>
      </c>
      <c r="V19" s="10">
        <v>0</v>
      </c>
      <c r="W19" s="6">
        <v>1</v>
      </c>
      <c r="X19" s="6">
        <v>0</v>
      </c>
      <c r="Y19" s="6">
        <v>1</v>
      </c>
    </row>
    <row r="20" spans="2:25" x14ac:dyDescent="0.45">
      <c r="M20" s="6" t="s">
        <v>110</v>
      </c>
      <c r="N20" s="6" t="s">
        <v>87</v>
      </c>
      <c r="O20" s="6">
        <v>19700110</v>
      </c>
      <c r="P20" s="6" t="s">
        <v>10</v>
      </c>
      <c r="Q20" s="7">
        <v>46128.332129629627</v>
      </c>
      <c r="R20" s="7" t="s">
        <v>62</v>
      </c>
      <c r="S20" s="6" t="s">
        <v>23</v>
      </c>
      <c r="U20" s="6" t="s">
        <v>29</v>
      </c>
      <c r="V20" s="10">
        <v>0</v>
      </c>
      <c r="W20" s="6">
        <v>3</v>
      </c>
      <c r="X20" s="6">
        <v>0</v>
      </c>
      <c r="Y20" s="6">
        <v>3</v>
      </c>
    </row>
    <row r="21" spans="2:25" x14ac:dyDescent="0.45">
      <c r="I21" s="5"/>
      <c r="M21" s="6" t="s">
        <v>111</v>
      </c>
      <c r="N21" s="6" t="s">
        <v>88</v>
      </c>
      <c r="O21" s="6">
        <v>19960807</v>
      </c>
      <c r="P21" s="6" t="s">
        <v>10</v>
      </c>
      <c r="Q21" s="7">
        <v>46128.480613425927</v>
      </c>
      <c r="R21" s="7" t="s">
        <v>31</v>
      </c>
      <c r="S21" s="6" t="s">
        <v>64</v>
      </c>
      <c r="U21" s="6" t="s">
        <v>28</v>
      </c>
      <c r="V21" s="10">
        <v>0</v>
      </c>
      <c r="W21" s="6">
        <v>1</v>
      </c>
      <c r="X21" s="6">
        <v>0</v>
      </c>
      <c r="Y21" s="6">
        <v>1</v>
      </c>
    </row>
    <row r="22" spans="2:25" x14ac:dyDescent="0.45">
      <c r="I22" s="5"/>
      <c r="M22" s="6" t="s">
        <v>112</v>
      </c>
      <c r="N22" s="6" t="s">
        <v>42</v>
      </c>
      <c r="O22" s="6">
        <v>19940425</v>
      </c>
      <c r="P22" s="6" t="s">
        <v>10</v>
      </c>
      <c r="Q22" s="7">
        <v>46128.632453703707</v>
      </c>
      <c r="R22" s="7" t="s">
        <v>65</v>
      </c>
      <c r="S22" s="6" t="s">
        <v>23</v>
      </c>
      <c r="U22" s="6" t="s">
        <v>42</v>
      </c>
      <c r="V22" s="10">
        <v>0</v>
      </c>
      <c r="W22" s="6">
        <v>4</v>
      </c>
      <c r="X22" s="6">
        <v>1</v>
      </c>
      <c r="Y22" s="6">
        <v>4</v>
      </c>
    </row>
    <row r="23" spans="2:25" x14ac:dyDescent="0.45">
      <c r="I23" s="5"/>
      <c r="M23" s="6" t="s">
        <v>113</v>
      </c>
      <c r="N23" s="6" t="s">
        <v>89</v>
      </c>
      <c r="O23" s="6">
        <v>19890123</v>
      </c>
      <c r="P23" s="6" t="s">
        <v>47</v>
      </c>
      <c r="Q23" s="7">
        <v>46128.63385416667</v>
      </c>
      <c r="R23" s="7" t="s">
        <v>67</v>
      </c>
      <c r="S23" s="6" t="s">
        <v>23</v>
      </c>
      <c r="U23" s="6" t="s">
        <v>71</v>
      </c>
      <c r="V23" s="10">
        <v>0</v>
      </c>
      <c r="W23" s="6">
        <v>1</v>
      </c>
      <c r="X23" s="6">
        <v>0</v>
      </c>
      <c r="Y23" s="6">
        <v>1</v>
      </c>
    </row>
    <row r="24" spans="2:25" x14ac:dyDescent="0.45">
      <c r="I24" s="5"/>
      <c r="M24" s="6" t="s">
        <v>114</v>
      </c>
      <c r="N24" s="6" t="s">
        <v>90</v>
      </c>
      <c r="O24" s="6">
        <v>19680418</v>
      </c>
      <c r="P24" s="6" t="s">
        <v>10</v>
      </c>
      <c r="Q24" s="7">
        <v>46128.666076388887</v>
      </c>
      <c r="R24" s="7" t="s">
        <v>57</v>
      </c>
      <c r="S24" s="6" t="s">
        <v>23</v>
      </c>
      <c r="U24" s="6" t="s">
        <v>74</v>
      </c>
      <c r="V24" s="10">
        <v>0</v>
      </c>
      <c r="W24" s="6">
        <v>0</v>
      </c>
      <c r="X24" s="6">
        <v>1</v>
      </c>
      <c r="Y24" s="6">
        <v>0</v>
      </c>
    </row>
    <row r="25" spans="2:25" x14ac:dyDescent="0.45">
      <c r="F25" s="5"/>
      <c r="I25" s="5"/>
      <c r="M25" s="6" t="s">
        <v>115</v>
      </c>
      <c r="N25" s="6" t="s">
        <v>33</v>
      </c>
      <c r="O25" s="6">
        <v>19861031</v>
      </c>
      <c r="P25" s="6" t="s">
        <v>10</v>
      </c>
      <c r="Q25" s="7">
        <v>46128.675081018519</v>
      </c>
      <c r="R25" s="7" t="s">
        <v>25</v>
      </c>
      <c r="S25" s="6" t="s">
        <v>23</v>
      </c>
      <c r="U25" s="6"/>
      <c r="V25" s="10"/>
      <c r="W25" s="6"/>
      <c r="X25" s="6"/>
      <c r="Y25" s="6"/>
    </row>
    <row r="26" spans="2:25" x14ac:dyDescent="0.45">
      <c r="F26" s="5"/>
      <c r="I26" s="5"/>
      <c r="M26" s="6" t="s">
        <v>116</v>
      </c>
      <c r="N26" s="6" t="s">
        <v>66</v>
      </c>
      <c r="O26" s="6">
        <v>19930308</v>
      </c>
      <c r="P26" s="6" t="s">
        <v>10</v>
      </c>
      <c r="Q26" s="7">
        <v>46129.404074074075</v>
      </c>
      <c r="R26" s="7" t="s">
        <v>67</v>
      </c>
      <c r="S26" s="6" t="s">
        <v>23</v>
      </c>
      <c r="U26" s="6"/>
      <c r="V26" s="10"/>
      <c r="W26" s="6"/>
      <c r="X26" s="6"/>
      <c r="Y26" s="6"/>
    </row>
    <row r="27" spans="2:25" x14ac:dyDescent="0.45">
      <c r="F27" s="5"/>
      <c r="I27" s="5"/>
      <c r="M27" s="6" t="s">
        <v>117</v>
      </c>
      <c r="N27" s="6" t="s">
        <v>61</v>
      </c>
      <c r="O27" s="6">
        <v>19890215</v>
      </c>
      <c r="P27" s="6" t="s">
        <v>10</v>
      </c>
      <c r="Q27" s="7">
        <v>46130.987685185188</v>
      </c>
      <c r="R27" s="7" t="s">
        <v>69</v>
      </c>
      <c r="S27" s="6" t="s">
        <v>23</v>
      </c>
      <c r="U27" s="6"/>
      <c r="V27" s="10"/>
      <c r="W27" s="6"/>
      <c r="X27" s="6"/>
      <c r="Y27" s="6"/>
    </row>
    <row r="28" spans="2:25" x14ac:dyDescent="0.45">
      <c r="F28" s="5"/>
      <c r="I28" s="5"/>
      <c r="M28" s="6" t="s">
        <v>118</v>
      </c>
      <c r="N28" s="6" t="s">
        <v>32</v>
      </c>
      <c r="O28" s="6">
        <v>19821022</v>
      </c>
      <c r="P28" s="6" t="s">
        <v>10</v>
      </c>
      <c r="Q28" s="7">
        <v>46131.640451388892</v>
      </c>
      <c r="R28" s="7" t="s">
        <v>70</v>
      </c>
      <c r="S28" s="6" t="s">
        <v>23</v>
      </c>
      <c r="U28" s="8"/>
      <c r="V28" s="10"/>
      <c r="W28" s="6"/>
      <c r="X28" s="6"/>
      <c r="Y28" s="6"/>
    </row>
    <row r="29" spans="2:25" x14ac:dyDescent="0.45">
      <c r="F29" s="5"/>
      <c r="I29" s="5"/>
      <c r="M29" s="6" t="s">
        <v>119</v>
      </c>
      <c r="N29" s="6" t="s">
        <v>61</v>
      </c>
      <c r="O29" s="6">
        <v>19881213</v>
      </c>
      <c r="P29" s="6" t="s">
        <v>47</v>
      </c>
      <c r="Q29" s="7">
        <v>46133.442511574074</v>
      </c>
      <c r="R29" s="7" t="s">
        <v>57</v>
      </c>
      <c r="S29" s="6" t="s">
        <v>23</v>
      </c>
      <c r="U29" s="8"/>
      <c r="V29" s="10"/>
      <c r="W29" s="6"/>
      <c r="X29" s="6"/>
      <c r="Y29" s="6"/>
    </row>
    <row r="30" spans="2:25" x14ac:dyDescent="0.45">
      <c r="F30" s="5"/>
      <c r="I30" s="5"/>
      <c r="M30" s="6" t="s">
        <v>120</v>
      </c>
      <c r="N30" s="6" t="s">
        <v>91</v>
      </c>
      <c r="O30" s="6">
        <v>19960115</v>
      </c>
      <c r="P30" s="6" t="s">
        <v>47</v>
      </c>
      <c r="Q30" s="7">
        <v>46133.725277777776</v>
      </c>
      <c r="R30" s="7" t="s">
        <v>72</v>
      </c>
      <c r="S30" s="6" t="s">
        <v>23</v>
      </c>
      <c r="U30" s="6"/>
      <c r="V30" s="10"/>
      <c r="W30" s="6"/>
      <c r="X30" s="6"/>
      <c r="Y30" s="6"/>
    </row>
    <row r="31" spans="2:25" x14ac:dyDescent="0.45">
      <c r="F31" s="5"/>
      <c r="I31" s="5"/>
      <c r="M31" s="6" t="s">
        <v>121</v>
      </c>
      <c r="N31" s="6" t="s">
        <v>92</v>
      </c>
      <c r="O31" s="6">
        <v>19920805</v>
      </c>
      <c r="P31" s="6" t="s">
        <v>47</v>
      </c>
      <c r="Q31" s="7">
        <v>46134.524664351855</v>
      </c>
      <c r="R31" s="7" t="s">
        <v>57</v>
      </c>
      <c r="S31" s="6" t="s">
        <v>44</v>
      </c>
      <c r="U31" s="6"/>
      <c r="V31" s="10"/>
      <c r="W31" s="6"/>
      <c r="X31" s="6"/>
      <c r="Y31" s="6"/>
    </row>
    <row r="32" spans="2:25" x14ac:dyDescent="0.45">
      <c r="F32" s="5"/>
      <c r="I32" s="5"/>
      <c r="M32" s="6" t="s">
        <v>122</v>
      </c>
      <c r="N32" s="6" t="s">
        <v>93</v>
      </c>
      <c r="O32" s="6">
        <v>19870824</v>
      </c>
      <c r="P32" s="6" t="s">
        <v>10</v>
      </c>
      <c r="Q32" s="7">
        <v>46135.38003472222</v>
      </c>
      <c r="R32" s="7" t="s">
        <v>75</v>
      </c>
      <c r="S32" s="6" t="s">
        <v>23</v>
      </c>
      <c r="U32" s="6"/>
      <c r="V32" s="10"/>
      <c r="W32" s="6"/>
      <c r="X32" s="6"/>
      <c r="Y32" s="6"/>
    </row>
    <row r="33" spans="6:25" x14ac:dyDescent="0.45">
      <c r="F33" s="5"/>
      <c r="I33" s="5"/>
      <c r="M33" s="6" t="s">
        <v>123</v>
      </c>
      <c r="N33" s="6" t="s">
        <v>88</v>
      </c>
      <c r="O33" s="6">
        <v>19891205</v>
      </c>
      <c r="P33" s="6" t="s">
        <v>47</v>
      </c>
      <c r="Q33" s="7">
        <v>46137.01290509259</v>
      </c>
      <c r="R33" s="7" t="s">
        <v>76</v>
      </c>
      <c r="S33" s="6" t="s">
        <v>23</v>
      </c>
      <c r="U33" s="6"/>
      <c r="V33" s="10"/>
      <c r="W33" s="6"/>
      <c r="X33" s="6"/>
      <c r="Y33" s="6"/>
    </row>
    <row r="34" spans="6:25" x14ac:dyDescent="0.45">
      <c r="F34" s="5"/>
      <c r="M34" s="6" t="s">
        <v>124</v>
      </c>
      <c r="N34" s="6" t="s">
        <v>35</v>
      </c>
      <c r="O34" s="6">
        <v>19940115</v>
      </c>
      <c r="P34" s="6" t="s">
        <v>10</v>
      </c>
      <c r="Q34" s="7">
        <v>46138.050775462965</v>
      </c>
      <c r="R34" s="7" t="s">
        <v>77</v>
      </c>
      <c r="S34" s="6" t="s">
        <v>23</v>
      </c>
      <c r="U34" s="6"/>
      <c r="V34" s="10"/>
      <c r="W34" s="6"/>
      <c r="X34" s="6"/>
      <c r="Y34" s="6"/>
    </row>
    <row r="35" spans="6:25" x14ac:dyDescent="0.45">
      <c r="F35" s="5"/>
      <c r="M35" s="6" t="s">
        <v>125</v>
      </c>
      <c r="N35" s="6" t="s">
        <v>94</v>
      </c>
      <c r="O35" s="6">
        <v>19681208</v>
      </c>
      <c r="P35" s="6" t="s">
        <v>10</v>
      </c>
      <c r="Q35" s="7">
        <v>46139.654143518521</v>
      </c>
      <c r="R35" s="7" t="s">
        <v>79</v>
      </c>
      <c r="S35" s="6" t="s">
        <v>64</v>
      </c>
      <c r="U35" s="6"/>
      <c r="V35" s="10"/>
      <c r="W35" s="6"/>
      <c r="X35" s="6"/>
      <c r="Y35" s="6"/>
    </row>
    <row r="36" spans="6:25" x14ac:dyDescent="0.45">
      <c r="F36" s="5"/>
      <c r="M36" s="6" t="s">
        <v>126</v>
      </c>
      <c r="N36" s="6" t="s">
        <v>68</v>
      </c>
      <c r="O36" s="6">
        <v>19960807</v>
      </c>
      <c r="P36" s="6" t="s">
        <v>10</v>
      </c>
      <c r="Q36" s="7">
        <v>46139.663842592592</v>
      </c>
      <c r="R36" s="7" t="s">
        <v>25</v>
      </c>
      <c r="S36" s="6" t="s">
        <v>23</v>
      </c>
      <c r="U36" s="6"/>
      <c r="V36" s="10"/>
      <c r="W36" s="6"/>
      <c r="X36" s="6"/>
      <c r="Y36" s="6"/>
    </row>
    <row r="37" spans="6:25" x14ac:dyDescent="0.45">
      <c r="F37" s="5"/>
      <c r="M37" s="6" t="s">
        <v>127</v>
      </c>
      <c r="N37" s="6" t="s">
        <v>34</v>
      </c>
      <c r="O37" s="6">
        <v>20010609</v>
      </c>
      <c r="P37" s="6" t="s">
        <v>10</v>
      </c>
      <c r="Q37" s="7">
        <v>46140.729363425926</v>
      </c>
      <c r="R37" s="7" t="s">
        <v>65</v>
      </c>
      <c r="S37" s="6" t="s">
        <v>23</v>
      </c>
      <c r="U37" s="6"/>
      <c r="V37" s="10"/>
      <c r="W37" s="6"/>
      <c r="X37" s="6"/>
      <c r="Y37" s="6"/>
    </row>
    <row r="38" spans="6:25" x14ac:dyDescent="0.45">
      <c r="F38" s="5"/>
      <c r="M38" s="6" t="s">
        <v>128</v>
      </c>
      <c r="N38" s="6" t="s">
        <v>66</v>
      </c>
      <c r="O38" s="6">
        <v>19850131</v>
      </c>
      <c r="P38" s="6" t="s">
        <v>10</v>
      </c>
      <c r="Q38" s="7">
        <v>46141.890567129631</v>
      </c>
      <c r="R38" s="7" t="s">
        <v>67</v>
      </c>
      <c r="S38" s="6" t="s">
        <v>23</v>
      </c>
      <c r="U38" s="6"/>
      <c r="V38" s="10"/>
      <c r="W38" s="6"/>
      <c r="X38" s="6"/>
      <c r="Y38" s="6"/>
    </row>
    <row r="39" spans="6:25" x14ac:dyDescent="0.45">
      <c r="F39" s="5"/>
      <c r="M39" s="6" t="s">
        <v>129</v>
      </c>
      <c r="N39" s="6" t="s">
        <v>61</v>
      </c>
      <c r="O39" s="6">
        <v>20010203</v>
      </c>
      <c r="P39" s="6" t="s">
        <v>47</v>
      </c>
      <c r="Q39" s="7">
        <v>46141.914618055554</v>
      </c>
      <c r="R39" s="7" t="s">
        <v>30</v>
      </c>
      <c r="S39" s="6" t="s">
        <v>23</v>
      </c>
      <c r="U39" s="6"/>
      <c r="V39" s="10"/>
      <c r="W39" s="6"/>
      <c r="X39" s="6"/>
      <c r="Y39" s="6"/>
    </row>
    <row r="40" spans="6:25" x14ac:dyDescent="0.45">
      <c r="F40" s="5"/>
      <c r="M40" s="6"/>
      <c r="N40" s="6"/>
      <c r="O40" s="6"/>
      <c r="P40" s="6"/>
      <c r="Q40" s="7"/>
      <c r="R40" s="7"/>
      <c r="U40" s="6"/>
      <c r="V40" s="10"/>
      <c r="W40" s="6"/>
      <c r="X40" s="6"/>
      <c r="Y40" s="6"/>
    </row>
    <row r="41" spans="6:25" x14ac:dyDescent="0.45">
      <c r="F41" s="5"/>
      <c r="M41" s="6"/>
      <c r="N41" s="6"/>
      <c r="O41" s="6"/>
      <c r="P41" s="6"/>
      <c r="Q41" s="7"/>
      <c r="R41" s="7"/>
      <c r="U41" s="6"/>
      <c r="V41" s="10"/>
      <c r="W41" s="6"/>
      <c r="X41" s="6"/>
      <c r="Y41" s="6"/>
    </row>
    <row r="42" spans="6:25" x14ac:dyDescent="0.45">
      <c r="F42" s="5"/>
      <c r="M42" s="6"/>
      <c r="N42" s="6"/>
      <c r="O42" s="6"/>
      <c r="P42" s="6"/>
      <c r="Q42" s="7"/>
      <c r="R42" s="7"/>
      <c r="U42" s="6"/>
      <c r="V42" s="10"/>
      <c r="W42" s="6"/>
      <c r="X42" s="6"/>
      <c r="Y42" s="6"/>
    </row>
    <row r="43" spans="6:25" x14ac:dyDescent="0.45">
      <c r="F43" s="5"/>
      <c r="M43" s="6"/>
      <c r="N43" s="6"/>
      <c r="O43" s="6"/>
      <c r="P43" s="6"/>
      <c r="Q43" s="7"/>
      <c r="R43" s="7"/>
      <c r="U43" s="6"/>
      <c r="V43" s="10"/>
      <c r="W43" s="6"/>
      <c r="X43" s="6"/>
      <c r="Y43" s="6"/>
    </row>
    <row r="44" spans="6:25" x14ac:dyDescent="0.45">
      <c r="F44" s="5"/>
      <c r="M44" s="6"/>
      <c r="N44" s="6"/>
      <c r="O44" s="6"/>
      <c r="P44" s="6"/>
      <c r="Q44" s="7"/>
      <c r="R44" s="7"/>
      <c r="U44" s="6"/>
      <c r="V44" s="10"/>
      <c r="W44" s="6"/>
      <c r="X44" s="6"/>
      <c r="Y44" s="6"/>
    </row>
    <row r="45" spans="6:25" x14ac:dyDescent="0.45">
      <c r="F45" s="5"/>
      <c r="M45" s="6"/>
      <c r="N45" s="6"/>
      <c r="O45" s="6"/>
      <c r="P45" s="6"/>
      <c r="Q45" s="7"/>
      <c r="R45" s="7"/>
      <c r="U45" s="6"/>
      <c r="V45" s="10"/>
      <c r="W45" s="6"/>
      <c r="X45" s="6"/>
      <c r="Y45" s="6"/>
    </row>
    <row r="46" spans="6:25" x14ac:dyDescent="0.45">
      <c r="F46" s="5"/>
      <c r="M46" s="6"/>
      <c r="N46" s="6"/>
      <c r="O46" s="6"/>
      <c r="P46" s="6"/>
      <c r="Q46" s="7"/>
      <c r="R46" s="7"/>
      <c r="U46" s="6"/>
      <c r="V46" s="10"/>
      <c r="W46" s="6"/>
      <c r="X46" s="6"/>
      <c r="Y46" s="6"/>
    </row>
    <row r="47" spans="6:25" x14ac:dyDescent="0.45">
      <c r="F47" s="5"/>
      <c r="M47" s="6"/>
      <c r="N47" s="6"/>
      <c r="O47" s="6"/>
      <c r="P47" s="6"/>
      <c r="Q47" s="7"/>
      <c r="R47" s="7"/>
      <c r="U47" s="6"/>
      <c r="V47" s="10"/>
      <c r="W47" s="6"/>
      <c r="X47" s="6"/>
      <c r="Y47" s="6"/>
    </row>
    <row r="48" spans="6:25" x14ac:dyDescent="0.45">
      <c r="F48" s="5"/>
      <c r="M48" s="6"/>
      <c r="N48" s="6"/>
      <c r="O48" s="6"/>
      <c r="P48" s="6"/>
      <c r="Q48" s="7"/>
      <c r="R48" s="7"/>
      <c r="U48" s="6"/>
      <c r="V48" s="10"/>
      <c r="W48" s="6"/>
      <c r="X48" s="6"/>
      <c r="Y48" s="6"/>
    </row>
    <row r="49" spans="6:25" x14ac:dyDescent="0.45">
      <c r="F49" s="5"/>
      <c r="M49" s="6"/>
      <c r="N49" s="6"/>
      <c r="O49" s="6"/>
      <c r="P49" s="6"/>
      <c r="Q49" s="7"/>
      <c r="R49" s="7"/>
      <c r="U49" s="6"/>
      <c r="V49" s="10"/>
      <c r="W49" s="6"/>
      <c r="X49" s="6"/>
      <c r="Y49" s="6"/>
    </row>
    <row r="50" spans="6:25" x14ac:dyDescent="0.45">
      <c r="F50" s="5"/>
      <c r="M50" s="6"/>
      <c r="N50" s="6"/>
      <c r="O50" s="6"/>
      <c r="P50" s="6"/>
      <c r="Q50" s="7"/>
      <c r="R50" s="7"/>
      <c r="U50" s="6"/>
      <c r="V50" s="10"/>
      <c r="W50" s="6"/>
      <c r="X50" s="6"/>
      <c r="Y50" s="6"/>
    </row>
    <row r="51" spans="6:25" x14ac:dyDescent="0.45">
      <c r="F51" s="5"/>
      <c r="M51" s="6"/>
      <c r="N51" s="6"/>
      <c r="O51" s="6"/>
      <c r="P51" s="6"/>
      <c r="Q51" s="7"/>
      <c r="R51" s="7"/>
      <c r="U51" s="6"/>
      <c r="V51" s="10"/>
      <c r="W51" s="6"/>
      <c r="X51" s="6"/>
      <c r="Y51" s="6"/>
    </row>
    <row r="52" spans="6:25" x14ac:dyDescent="0.45">
      <c r="F52" s="5"/>
      <c r="M52" s="6"/>
      <c r="N52" s="6"/>
      <c r="O52" s="6"/>
      <c r="P52" s="6"/>
      <c r="Q52" s="7"/>
      <c r="R52" s="7"/>
      <c r="U52" s="6"/>
      <c r="V52" s="10"/>
      <c r="W52" s="6"/>
      <c r="X52" s="6"/>
      <c r="Y52" s="6"/>
    </row>
    <row r="53" spans="6:25" x14ac:dyDescent="0.45">
      <c r="F53" s="5"/>
      <c r="M53" s="6"/>
      <c r="N53" s="6"/>
      <c r="O53" s="6"/>
      <c r="P53" s="6"/>
      <c r="Q53" s="7"/>
      <c r="R53" s="7"/>
    </row>
    <row r="54" spans="6:25" x14ac:dyDescent="0.45">
      <c r="F54" s="5"/>
      <c r="M54" s="6"/>
      <c r="N54" s="6"/>
      <c r="O54" s="6"/>
      <c r="P54" s="6"/>
      <c r="Q54" s="7"/>
      <c r="R54" s="7"/>
    </row>
    <row r="55" spans="6:25" x14ac:dyDescent="0.45">
      <c r="F55" s="5"/>
      <c r="M55" s="6"/>
      <c r="N55" s="6"/>
      <c r="O55" s="6"/>
      <c r="P55" s="6"/>
      <c r="Q55" s="7"/>
      <c r="R55" s="7"/>
    </row>
    <row r="56" spans="6:25" x14ac:dyDescent="0.45">
      <c r="F56" s="5"/>
      <c r="M56" s="6"/>
      <c r="N56" s="6"/>
      <c r="O56" s="6"/>
      <c r="P56" s="6"/>
      <c r="Q56" s="7"/>
      <c r="R56" s="7"/>
    </row>
    <row r="57" spans="6:25" x14ac:dyDescent="0.45">
      <c r="F57" s="5"/>
      <c r="J57" s="6"/>
      <c r="L57" s="9"/>
      <c r="M57" s="6"/>
      <c r="N57" s="6"/>
      <c r="O57" s="6"/>
      <c r="P57" s="6"/>
      <c r="Q57" s="7"/>
      <c r="R57" s="7"/>
    </row>
    <row r="58" spans="6:25" x14ac:dyDescent="0.45">
      <c r="F58" s="5"/>
      <c r="J58" s="6"/>
      <c r="L58" s="9"/>
      <c r="M58" s="6"/>
      <c r="N58" s="6"/>
      <c r="O58" s="6"/>
      <c r="P58" s="7"/>
      <c r="Q58" s="7"/>
      <c r="R58" s="7"/>
    </row>
    <row r="59" spans="6:25" x14ac:dyDescent="0.45">
      <c r="F59" s="5"/>
      <c r="J59" s="6"/>
      <c r="L59" s="9"/>
      <c r="M59" s="6"/>
      <c r="N59" s="6"/>
      <c r="O59" s="6"/>
      <c r="P59" s="7"/>
      <c r="Q59" s="7"/>
      <c r="R59" s="7"/>
    </row>
    <row r="60" spans="6:25" x14ac:dyDescent="0.45">
      <c r="F60" s="5"/>
      <c r="J60" s="6"/>
      <c r="L60" s="9"/>
      <c r="M60" s="6"/>
      <c r="N60" s="6"/>
      <c r="O60" s="6"/>
      <c r="P60" s="7"/>
      <c r="Q60" s="7"/>
      <c r="R60" s="7"/>
    </row>
    <row r="61" spans="6:25" x14ac:dyDescent="0.45">
      <c r="F61" s="5"/>
      <c r="J61" s="6"/>
      <c r="L61" s="9"/>
      <c r="M61" s="6"/>
      <c r="N61" s="6"/>
      <c r="O61" s="6"/>
      <c r="P61" s="7"/>
      <c r="Q61" s="7"/>
      <c r="R61" s="7"/>
    </row>
    <row r="62" spans="6:25" x14ac:dyDescent="0.45">
      <c r="J62" s="6"/>
      <c r="L62" s="9"/>
      <c r="M62" s="6"/>
      <c r="N62" s="6"/>
      <c r="O62" s="6"/>
      <c r="P62" s="7"/>
      <c r="Q62" s="7"/>
      <c r="R62" s="7"/>
    </row>
    <row r="63" spans="6:25" x14ac:dyDescent="0.45">
      <c r="J63" s="6"/>
      <c r="L63" s="9"/>
      <c r="M63" s="6"/>
      <c r="N63" s="6"/>
      <c r="O63" s="6"/>
      <c r="P63" s="7"/>
      <c r="Q63" s="7"/>
      <c r="R63" s="7"/>
    </row>
    <row r="64" spans="6:25" x14ac:dyDescent="0.45">
      <c r="J64" s="6"/>
      <c r="L64" s="9"/>
      <c r="M64" s="6"/>
      <c r="N64" s="6"/>
      <c r="O64" s="6"/>
      <c r="P64" s="7"/>
      <c r="Q64" s="7"/>
      <c r="R64" s="7"/>
    </row>
    <row r="65" spans="10:18" x14ac:dyDescent="0.45">
      <c r="J65" s="6"/>
      <c r="L65" s="9"/>
      <c r="M65" s="6"/>
      <c r="N65" s="6"/>
      <c r="O65" s="6"/>
      <c r="P65" s="7"/>
      <c r="Q65" s="7"/>
      <c r="R65" s="7"/>
    </row>
    <row r="66" spans="10:18" x14ac:dyDescent="0.45">
      <c r="J66" s="6"/>
      <c r="L66" s="9"/>
      <c r="M66" s="6"/>
      <c r="N66" s="6"/>
      <c r="O66" s="6"/>
      <c r="P66" s="7"/>
      <c r="Q66" s="7"/>
      <c r="R66" s="7"/>
    </row>
    <row r="67" spans="10:18" x14ac:dyDescent="0.45">
      <c r="J67" s="6"/>
      <c r="L67" s="9"/>
      <c r="M67" s="6"/>
      <c r="N67" s="6"/>
      <c r="O67" s="6"/>
      <c r="P67" s="6"/>
      <c r="Q67" s="7"/>
      <c r="R67" s="7"/>
    </row>
    <row r="68" spans="10:18" x14ac:dyDescent="0.45">
      <c r="J68" s="6"/>
      <c r="L68" s="9"/>
      <c r="M68" s="6"/>
      <c r="N68" s="6"/>
      <c r="O68" s="6"/>
      <c r="P68" s="6"/>
      <c r="Q68" s="7"/>
      <c r="R68" s="7"/>
    </row>
    <row r="69" spans="10:18" x14ac:dyDescent="0.45">
      <c r="J69" s="6"/>
      <c r="L69" s="9"/>
      <c r="M69" s="6"/>
      <c r="N69" s="6"/>
      <c r="O69" s="6"/>
      <c r="P69" s="6"/>
      <c r="Q69" s="7"/>
      <c r="R69" s="7"/>
    </row>
    <row r="70" spans="10:18" x14ac:dyDescent="0.45">
      <c r="J70" s="6"/>
      <c r="L70" s="9"/>
      <c r="M70" s="6"/>
      <c r="N70" s="6"/>
      <c r="O70" s="6"/>
      <c r="P70" s="6"/>
      <c r="Q70" s="7"/>
      <c r="R70" s="7"/>
    </row>
    <row r="71" spans="10:18" x14ac:dyDescent="0.45">
      <c r="J71" s="6"/>
      <c r="L71" s="9"/>
      <c r="M71" s="6"/>
      <c r="N71" s="6"/>
      <c r="O71" s="6"/>
      <c r="P71" s="6"/>
      <c r="Q71" s="7"/>
      <c r="R71" s="7"/>
    </row>
    <row r="72" spans="10:18" x14ac:dyDescent="0.45">
      <c r="J72" s="6"/>
      <c r="L72" s="9"/>
      <c r="M72" s="6"/>
      <c r="N72" s="6"/>
      <c r="O72" s="6"/>
      <c r="P72" s="6"/>
      <c r="Q72" s="7"/>
      <c r="R72" s="7"/>
    </row>
    <row r="73" spans="10:18" x14ac:dyDescent="0.45">
      <c r="J73" s="6"/>
      <c r="L73" s="9"/>
      <c r="M73" s="6"/>
      <c r="N73" s="6"/>
      <c r="O73" s="6"/>
      <c r="P73" s="6"/>
      <c r="Q73" s="7"/>
      <c r="R73" s="7"/>
    </row>
    <row r="74" spans="10:18" x14ac:dyDescent="0.45">
      <c r="J74" s="6"/>
      <c r="L74" s="9"/>
      <c r="M74" s="6"/>
      <c r="N74" s="6"/>
      <c r="O74" s="6"/>
      <c r="P74" s="6"/>
      <c r="Q74" s="7"/>
      <c r="R74" s="7"/>
    </row>
    <row r="75" spans="10:18" x14ac:dyDescent="0.45">
      <c r="J75" s="6"/>
      <c r="L75" s="9"/>
      <c r="M75" s="6"/>
      <c r="N75" s="6"/>
      <c r="O75" s="6"/>
      <c r="P75" s="6"/>
      <c r="Q75" s="7"/>
      <c r="R75" s="7"/>
    </row>
    <row r="76" spans="10:18" x14ac:dyDescent="0.45">
      <c r="J76" s="6"/>
      <c r="L76" s="9"/>
      <c r="M76" s="6"/>
      <c r="N76" s="6"/>
      <c r="O76" s="6"/>
      <c r="P76" s="6"/>
      <c r="Q76" s="7"/>
      <c r="R76" s="7"/>
    </row>
    <row r="77" spans="10:18" x14ac:dyDescent="0.45">
      <c r="J77" s="6"/>
      <c r="L77" s="9"/>
      <c r="M77" s="6"/>
      <c r="N77" s="6"/>
      <c r="O77" s="6"/>
      <c r="P77" s="6"/>
      <c r="Q77" s="7"/>
      <c r="R77" s="7"/>
    </row>
    <row r="78" spans="10:18" x14ac:dyDescent="0.45">
      <c r="J78" s="6"/>
      <c r="L78" s="9"/>
      <c r="M78" s="6"/>
      <c r="N78" s="6"/>
      <c r="O78" s="6"/>
      <c r="P78" s="6"/>
      <c r="Q78" s="7"/>
      <c r="R78" s="7"/>
    </row>
    <row r="79" spans="10:18" x14ac:dyDescent="0.45">
      <c r="J79" s="6"/>
      <c r="L79" s="9"/>
      <c r="M79" s="6"/>
      <c r="N79" s="6"/>
      <c r="O79" s="6"/>
      <c r="P79" s="6"/>
      <c r="Q79" s="7"/>
      <c r="R79" s="7"/>
    </row>
    <row r="80" spans="10:18" x14ac:dyDescent="0.45">
      <c r="J80" s="6"/>
      <c r="L80" s="9"/>
      <c r="M80" s="6"/>
      <c r="N80" s="6"/>
      <c r="O80" s="6"/>
      <c r="P80" s="6"/>
      <c r="Q80" s="7"/>
      <c r="R80" s="7"/>
    </row>
    <row r="81" spans="10:18" x14ac:dyDescent="0.45">
      <c r="J81" s="6"/>
      <c r="L81" s="9"/>
      <c r="M81" s="6"/>
      <c r="N81" s="6"/>
      <c r="O81" s="6"/>
      <c r="P81" s="6"/>
      <c r="Q81" s="7"/>
      <c r="R81" s="7"/>
    </row>
    <row r="82" spans="10:18" x14ac:dyDescent="0.45">
      <c r="J82" s="6"/>
      <c r="L82" s="9"/>
      <c r="M82" s="6"/>
      <c r="N82" s="6"/>
      <c r="O82" s="6"/>
      <c r="P82" s="6"/>
      <c r="Q82" s="7"/>
      <c r="R82" s="7"/>
    </row>
    <row r="83" spans="10:18" x14ac:dyDescent="0.45">
      <c r="J83" s="6"/>
      <c r="L83" s="9"/>
      <c r="M83" s="6"/>
      <c r="N83" s="6"/>
      <c r="O83" s="6"/>
      <c r="P83" s="6"/>
      <c r="Q83" s="7"/>
      <c r="R83" s="7"/>
    </row>
    <row r="84" spans="10:18" x14ac:dyDescent="0.45">
      <c r="J84" s="6"/>
      <c r="L84" s="9"/>
    </row>
    <row r="85" spans="10:18" x14ac:dyDescent="0.45">
      <c r="J85" s="6"/>
      <c r="L85" s="9"/>
    </row>
    <row r="86" spans="10:18" x14ac:dyDescent="0.45">
      <c r="J86" s="6"/>
      <c r="L86" s="9"/>
    </row>
    <row r="87" spans="10:18" x14ac:dyDescent="0.45">
      <c r="J87" s="6"/>
      <c r="L87" s="9"/>
    </row>
    <row r="88" spans="10:18" x14ac:dyDescent="0.45">
      <c r="J88" s="6"/>
      <c r="L88" s="9"/>
    </row>
    <row r="89" spans="10:18" x14ac:dyDescent="0.45">
      <c r="J89" s="6"/>
      <c r="L89" s="9"/>
    </row>
  </sheetData>
  <mergeCells count="6">
    <mergeCell ref="U4:AC4"/>
    <mergeCell ref="B3:I3"/>
    <mergeCell ref="B7:I7"/>
    <mergeCell ref="B11:I11"/>
    <mergeCell ref="B15:I15"/>
    <mergeCell ref="M3:U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j</dc:creator>
  <cp:lastModifiedBy>ch j</cp:lastModifiedBy>
  <dcterms:created xsi:type="dcterms:W3CDTF">2025-03-04T23:46:55Z</dcterms:created>
  <dcterms:modified xsi:type="dcterms:W3CDTF">2026-05-26T07:10:14Z</dcterms:modified>
</cp:coreProperties>
</file>